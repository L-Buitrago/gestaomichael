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  PEDIDOS DA FABRICA" sheetId="1" r:id="rId4"/>
    <sheet state="visible" name="   ESTOQUE  2026" sheetId="2" r:id="rId5"/>
    <sheet state="visible" name="CONTROLE DE SAÍDA 2026" sheetId="3" r:id="rId6"/>
    <sheet state="visible" name="CONTA 2026" sheetId="4" r:id="rId7"/>
  </sheets>
  <definedNames>
    <definedName hidden="1" localSheetId="1" name="_xlnm._FilterDatabase">'   ESTOQUE  2026'!$A$1:$M$35</definedName>
    <definedName hidden="1" localSheetId="2" name="_xlnm._FilterDatabase">'CONTROLE DE SAÍDA 2026'!$A$1:$E$39</definedName>
    <definedName hidden="1" localSheetId="3" name="_xlnm._FilterDatabase">'CONTA 2026'!$F$23</definedName>
  </definedNames>
  <calcPr/>
  <extLst>
    <ext uri="GoogleSheetsCustomDataVersion2">
      <go:sheetsCustomData xmlns:go="http://customooxmlschemas.google.com/" r:id="rId8" roundtripDataChecksum="kibIX+QkQjB5AilYP6+xZISutk7B6fhGBfxSeusjCxE="/>
    </ext>
  </extLst>
</workbook>
</file>

<file path=xl/sharedStrings.xml><?xml version="1.0" encoding="utf-8"?>
<sst xmlns="http://schemas.openxmlformats.org/spreadsheetml/2006/main" count="302" uniqueCount="165">
  <si>
    <t>Produto e Peso</t>
  </si>
  <si>
    <t>Quantidade</t>
  </si>
  <si>
    <t>NOME</t>
  </si>
  <si>
    <t>SAÍDA</t>
  </si>
  <si>
    <t>Marca</t>
  </si>
  <si>
    <t>Valor de Custo</t>
  </si>
  <si>
    <t>Valor de Venda</t>
  </si>
  <si>
    <t>Nome do Produto</t>
  </si>
  <si>
    <t>MARCA</t>
  </si>
  <si>
    <t>QUANTIDADE</t>
  </si>
  <si>
    <t>Marca Produto</t>
  </si>
  <si>
    <t>VALOR DE CUSTO</t>
  </si>
  <si>
    <t>VALOR DE TOTAL DE VENDA</t>
  </si>
  <si>
    <t>LOJA</t>
  </si>
  <si>
    <t>Estoque</t>
  </si>
  <si>
    <t>LOJA 2</t>
  </si>
  <si>
    <t>CLIENTE</t>
  </si>
  <si>
    <t>Vendida</t>
  </si>
  <si>
    <t>LOJA 3</t>
  </si>
  <si>
    <t>Estoque Custo</t>
  </si>
  <si>
    <t>PEDIDO LOJA</t>
  </si>
  <si>
    <t>Estoque Venda</t>
  </si>
  <si>
    <t>PEDIDO LOJA 2</t>
  </si>
  <si>
    <t>Margem</t>
  </si>
  <si>
    <t>Lucro Unitário</t>
  </si>
  <si>
    <t>PEDIDO LOJA 3</t>
  </si>
  <si>
    <t>Previsão de Lucro Final</t>
  </si>
  <si>
    <t>Lucro Obtido</t>
  </si>
  <si>
    <t>Total Custo</t>
  </si>
  <si>
    <t>DATA</t>
  </si>
  <si>
    <t>VALOR</t>
  </si>
  <si>
    <t>TOTAL SAÍDA</t>
  </si>
  <si>
    <t>RETRATUTIDA</t>
  </si>
  <si>
    <t>TIRZEPATIDA</t>
  </si>
  <si>
    <t>TOTAL ENTRADAS</t>
  </si>
  <si>
    <t>SINEDICA</t>
  </si>
  <si>
    <t xml:space="preserve">AGUARDANDO </t>
  </si>
  <si>
    <t>PAGAMENTO</t>
  </si>
  <si>
    <t>EUDIS</t>
  </si>
  <si>
    <t>MÊS</t>
  </si>
  <si>
    <t>TG</t>
  </si>
  <si>
    <t>BRUTO</t>
  </si>
  <si>
    <t>LUCRO</t>
  </si>
  <si>
    <t>CUSTO FIXO/VARIADO</t>
  </si>
  <si>
    <t>PRO-LABORE</t>
  </si>
  <si>
    <t>INVESTIR</t>
  </si>
  <si>
    <t>TITU</t>
  </si>
  <si>
    <t>Comissão Alicy</t>
  </si>
  <si>
    <t>PISA</t>
  </si>
  <si>
    <t>PERFUME</t>
  </si>
  <si>
    <t>TIRZEPATIDA AMPOLA</t>
  </si>
  <si>
    <t>TITU L</t>
  </si>
  <si>
    <t>LIPOLESS</t>
  </si>
  <si>
    <t>AGOSTO/26</t>
  </si>
  <si>
    <t>CHANTS</t>
  </si>
  <si>
    <t>ESPOSA FELIPE</t>
  </si>
  <si>
    <t>DOUGLAS MERCEARIA</t>
  </si>
  <si>
    <t>JUSSARA</t>
  </si>
  <si>
    <t>GHKCU</t>
  </si>
  <si>
    <t>EDGE VITAL</t>
  </si>
  <si>
    <t>MELATONIN</t>
  </si>
  <si>
    <t>NATROL</t>
  </si>
  <si>
    <t>ADRIANA</t>
  </si>
  <si>
    <t>TIRZEC</t>
  </si>
  <si>
    <t xml:space="preserve">RAFAEL CIRCO </t>
  </si>
  <si>
    <t>BOTOX</t>
  </si>
  <si>
    <t>DYSPORT</t>
  </si>
  <si>
    <t>MIKAEL BH</t>
  </si>
  <si>
    <t>NERY</t>
  </si>
  <si>
    <t>SCHALANA</t>
  </si>
  <si>
    <t xml:space="preserve">TIRZEPATIDA </t>
  </si>
  <si>
    <t>TIA VINICIUS FELIX</t>
  </si>
  <si>
    <t>MONIQUE KETULE</t>
  </si>
  <si>
    <t xml:space="preserve">SAQUE MES 8 </t>
  </si>
  <si>
    <t>NICOLE VINICIUS</t>
  </si>
  <si>
    <t xml:space="preserve">TIZERPATIDA </t>
  </si>
  <si>
    <t>ANDINHO</t>
  </si>
  <si>
    <t>WESLEY</t>
  </si>
  <si>
    <t>CARTELA</t>
  </si>
  <si>
    <t>CBC</t>
  </si>
  <si>
    <t>DIONATA BETO</t>
  </si>
  <si>
    <t xml:space="preserve">TITU </t>
  </si>
  <si>
    <t>RYAN</t>
  </si>
  <si>
    <t>SETEMBRO/26</t>
  </si>
  <si>
    <t>Pmmg</t>
  </si>
  <si>
    <t>TIRZERPATIDA</t>
  </si>
  <si>
    <t xml:space="preserve">RODRIGO ELETRICISTA </t>
  </si>
  <si>
    <t xml:space="preserve">ZE CARLINHOS </t>
  </si>
  <si>
    <t>LUCRO MÊS AGOSTO</t>
  </si>
  <si>
    <t>FIADO + SALDO</t>
  </si>
  <si>
    <t xml:space="preserve">ADRIANA </t>
  </si>
  <si>
    <t>MARÇO</t>
  </si>
  <si>
    <t>FIM DE AGOSTO/26  |ITENS VENDIDOS:</t>
  </si>
  <si>
    <t>FORD RANGER JUNIOR</t>
  </si>
  <si>
    <t>SYNEDICA</t>
  </si>
  <si>
    <t>JUNINHO PETROLUB</t>
  </si>
  <si>
    <t xml:space="preserve"> </t>
  </si>
  <si>
    <t>IGOR LAVA JATO</t>
  </si>
  <si>
    <t xml:space="preserve">LIPOLESS </t>
  </si>
  <si>
    <t>RAFAEL CIRCO</t>
  </si>
  <si>
    <t>ZE CARLINHO</t>
  </si>
  <si>
    <t>ABRIL</t>
  </si>
  <si>
    <t>ZE CARLINNO</t>
  </si>
  <si>
    <t>MARCIA GOMES JU</t>
  </si>
  <si>
    <t xml:space="preserve">LORENA MERCEARIA </t>
  </si>
  <si>
    <t>AMIGA KETY</t>
  </si>
  <si>
    <t>KLEBER</t>
  </si>
  <si>
    <t>CAROL MARTINS</t>
  </si>
  <si>
    <t>RODRIGO ELETRI</t>
  </si>
  <si>
    <t>JUNHO</t>
  </si>
  <si>
    <t>PATRÍCIA NERY</t>
  </si>
  <si>
    <t>JULHO</t>
  </si>
  <si>
    <t>MIKAELA BH</t>
  </si>
  <si>
    <t>RETATRUTIDA</t>
  </si>
  <si>
    <t>AGOSTO</t>
  </si>
  <si>
    <t>FILIPE GELADEIRA</t>
  </si>
  <si>
    <t xml:space="preserve">ALICE LOJA </t>
  </si>
  <si>
    <t xml:space="preserve">ZÉ CARLINHO </t>
  </si>
  <si>
    <t>PETROLUB</t>
  </si>
  <si>
    <t>SETEMBRO</t>
  </si>
  <si>
    <t xml:space="preserve">BOTOX </t>
  </si>
  <si>
    <t>LUCRO MÊS SETEMBRO</t>
  </si>
  <si>
    <t>IGOR LAVA LAJO</t>
  </si>
  <si>
    <t>OUTUBRO</t>
  </si>
  <si>
    <t>FIM DE SETEMBRO/26|ITENS VENDIDOS:</t>
  </si>
  <si>
    <t>TOTAL</t>
  </si>
  <si>
    <t xml:space="preserve">PISA </t>
  </si>
  <si>
    <t>NOVEMBRO</t>
  </si>
  <si>
    <t>DEZEMBRO</t>
  </si>
  <si>
    <t>DIVIDA RESTANTE</t>
  </si>
  <si>
    <t xml:space="preserve">CANETA GLOW </t>
  </si>
  <si>
    <t>ALLUVI</t>
  </si>
  <si>
    <t>MADAGASCAR</t>
  </si>
  <si>
    <t>CENTELLA</t>
  </si>
  <si>
    <t>NUMBUZIN</t>
  </si>
  <si>
    <t>RETINAL</t>
  </si>
  <si>
    <t>LUCRO MÊS MARÇO</t>
  </si>
  <si>
    <t>FIM DE MARÇO |ITENS VENDIDOS:</t>
  </si>
  <si>
    <t>SABAH SUGAR</t>
  </si>
  <si>
    <t>SABAH AL WARD</t>
  </si>
  <si>
    <t>KIT YARA</t>
  </si>
  <si>
    <t>YARA ELIXIR</t>
  </si>
  <si>
    <t>Total</t>
  </si>
  <si>
    <t>LUCRO MÊS ABRIL</t>
  </si>
  <si>
    <t>FIM DE ABRIL |ITENS VENDIDOS:</t>
  </si>
  <si>
    <t>Valor</t>
  </si>
  <si>
    <t>LUCRO MÊS MAIO</t>
  </si>
  <si>
    <t>FIM DE MAIO |ITENS VENDIDOS:</t>
  </si>
  <si>
    <t>Frete</t>
  </si>
  <si>
    <t>Reais</t>
  </si>
  <si>
    <t>LUCRO MÊS JUNHO</t>
  </si>
  <si>
    <t>FIM DE JUNHO |ITENS VENDIDOS:</t>
  </si>
  <si>
    <t>LUCRO MÊS JULHO</t>
  </si>
  <si>
    <t>Quantidade Estoque:</t>
  </si>
  <si>
    <t>Quantidade Vendida:</t>
  </si>
  <si>
    <t>Estoque Atacado Total:</t>
  </si>
  <si>
    <t>Estoque Varejo Total:</t>
  </si>
  <si>
    <t>PORCENTAGEM META</t>
  </si>
  <si>
    <t>Previsão Total de Lucro:</t>
  </si>
  <si>
    <t>Lucro Obtido:</t>
  </si>
  <si>
    <t>Atacado saida:</t>
  </si>
  <si>
    <t>Lucro Real Obtido:</t>
  </si>
  <si>
    <t>Quantidade:</t>
  </si>
  <si>
    <t>Valor de Custo:</t>
  </si>
  <si>
    <t>Valor Total Bruto: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</si>
</sst>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 R$ &quot;* #,##0.00&quot; &quot;;&quot;-R$ &quot;* #,##0.00&quot; &quot;;&quot; R$ &quot;* &quot;-&quot;??&quot; &quot;"/>
    <numFmt numFmtId="165" formatCode="&quot;R$ &quot;#,##0.00"/>
    <numFmt numFmtId="166" formatCode="dddd&quot;, &quot;mmmm&quot; &quot;dd&quot;, &quot;yyyy"/>
    <numFmt numFmtId="167" formatCode="[$R$ -416]#,##0.00"/>
    <numFmt numFmtId="168" formatCode="&quot;R$&quot;#,##0.00"/>
    <numFmt numFmtId="169" formatCode="&quot;$&quot;#,##0.00"/>
  </numFmts>
  <fonts count="39">
    <font>
      <sz val="11.0"/>
      <color rgb="FF000000"/>
      <name val="Libre Franklin"/>
      <scheme val="minor"/>
    </font>
    <font>
      <b/>
      <sz val="11.0"/>
      <color rgb="FFFFFFFF"/>
      <name val="Libre Franklin"/>
    </font>
    <font>
      <b/>
      <sz val="11.0"/>
      <color rgb="FFFF0000"/>
      <name val="Libre Franklin"/>
    </font>
    <font>
      <b/>
      <sz val="10.0"/>
      <color rgb="FFFFFFFF"/>
      <name val="Libre Franklin"/>
    </font>
    <font>
      <b/>
      <sz val="11.0"/>
      <color rgb="FF00B050"/>
      <name val="Libre Franklin"/>
    </font>
    <font>
      <sz val="11.0"/>
      <color rgb="FF000000"/>
      <name val="Libre Franklin"/>
    </font>
    <font>
      <sz val="12.0"/>
      <color rgb="FF002060"/>
      <name val="Libre Franklin"/>
    </font>
    <font>
      <i/>
      <sz val="11.0"/>
      <color rgb="FF1F497D"/>
      <name val="Libre Franklin"/>
    </font>
    <font>
      <sz val="12.0"/>
      <color rgb="FF1F497D"/>
      <name val="Libre Franklin"/>
    </font>
    <font>
      <b/>
      <i/>
      <sz val="10.0"/>
      <color rgb="FF7030A0"/>
      <name val="Libre Franklin"/>
    </font>
    <font>
      <sz val="10.0"/>
      <color rgb="FF7030A0"/>
      <name val="Libre Franklin"/>
    </font>
    <font>
      <sz val="12.0"/>
      <color rgb="FFFF0000"/>
      <name val="Libre Franklin"/>
    </font>
    <font>
      <sz val="12.0"/>
      <color rgb="FF00B050"/>
      <name val="Libre Franklin"/>
    </font>
    <font>
      <i/>
      <sz val="10.0"/>
      <color rgb="FFFF0000"/>
      <name val="Libre Franklin"/>
    </font>
    <font>
      <sz val="11.0"/>
      <color rgb="FFFF0000"/>
      <name val="Libre Franklin"/>
    </font>
    <font>
      <i/>
      <sz val="10.0"/>
      <color rgb="FF00B050"/>
      <name val="Libre Franklin"/>
    </font>
    <font>
      <i/>
      <sz val="10.0"/>
      <color rgb="FF0070C0"/>
      <name val="Libre Franklin"/>
    </font>
    <font>
      <sz val="11.0"/>
      <color rgb="FFFFFFFF"/>
      <name val="Libre Franklin"/>
    </font>
    <font>
      <sz val="11.0"/>
      <color rgb="FF1F497D"/>
      <name val="Libre Franklin"/>
    </font>
    <font>
      <sz val="11.0"/>
      <color rgb="FF00B050"/>
      <name val="Libre Franklin"/>
    </font>
    <font>
      <sz val="10.0"/>
      <color rgb="FFFF0000"/>
      <name val="Libre Franklin"/>
    </font>
    <font>
      <color theme="1"/>
      <name val="Libre Franklin"/>
      <scheme val="minor"/>
    </font>
    <font>
      <sz val="11.0"/>
      <color rgb="FF006100"/>
      <name val="Libre Franklin"/>
    </font>
    <font>
      <sz val="11.0"/>
      <color rgb="FF9C0006"/>
      <name val="Libre Franklin"/>
    </font>
    <font>
      <b/>
      <sz val="12.0"/>
      <color rgb="FFFF0000"/>
      <name val="Libre Franklin"/>
    </font>
    <font>
      <sz val="12.0"/>
      <color rgb="FFC00000"/>
      <name val="Libre Franklin"/>
    </font>
    <font>
      <b/>
      <sz val="10.0"/>
      <color rgb="FF7030A0"/>
      <name val="Libre Franklin"/>
    </font>
    <font>
      <b/>
      <sz val="10.0"/>
      <color rgb="FFFF0000"/>
      <name val="Libre Franklin"/>
    </font>
    <font>
      <b/>
      <sz val="10.0"/>
      <color rgb="FF00B050"/>
      <name val="Libre Franklin"/>
    </font>
    <font>
      <b/>
      <sz val="9.0"/>
      <color rgb="FF3F3F3F"/>
      <name val="Libre Franklin"/>
    </font>
    <font>
      <b/>
      <sz val="10.0"/>
      <color rgb="FF9C0006"/>
      <name val="Libre Franklin"/>
    </font>
    <font>
      <b/>
      <sz val="10.0"/>
      <color rgb="FF006100"/>
      <name val="Libre Franklin"/>
    </font>
    <font>
      <b/>
      <sz val="12.0"/>
      <color rgb="FF3F3F3F"/>
      <name val="Libre Franklin"/>
    </font>
    <font>
      <b/>
      <sz val="11.0"/>
      <color rgb="FF9C0006"/>
      <name val="Libre Franklin"/>
    </font>
    <font>
      <b/>
      <u/>
      <sz val="10.0"/>
      <color rgb="FF00B050"/>
      <name val="Libre Franklin"/>
    </font>
    <font>
      <b/>
      <sz val="11.0"/>
      <color rgb="FF006100"/>
      <name val="Libre Franklin"/>
    </font>
    <font>
      <sz val="12.0"/>
      <color rgb="FF3F3F3F"/>
      <name val="Libre Franklin"/>
    </font>
    <font>
      <sz val="12.0"/>
      <color rgb="FF9C0006"/>
      <name val="Libre Franklin"/>
    </font>
    <font>
      <sz val="12.0"/>
      <color rgb="FFFFFFFF"/>
      <name val="Libre Franklin"/>
    </font>
  </fonts>
  <fills count="10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333A56"/>
        <bgColor rgb="FF333A5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  <fill>
      <patternFill patternType="solid">
        <fgColor rgb="FF52658F"/>
        <bgColor rgb="FF52658F"/>
      </patternFill>
    </fill>
  </fills>
  <borders count="5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F497D"/>
      </left>
      <right style="thin">
        <color rgb="FFADB0BB"/>
      </right>
      <top style="thin">
        <color rgb="FF1F497D"/>
      </top>
      <bottom style="thin">
        <color rgb="FF1F497D"/>
      </bottom>
    </border>
    <border>
      <left style="thin">
        <color rgb="FFADB0BB"/>
      </left>
      <right style="thin">
        <color rgb="FFADB0BB"/>
      </right>
      <top style="thin">
        <color rgb="FF1F497D"/>
      </top>
      <bottom style="thin">
        <color rgb="FF1F497D"/>
      </bottom>
    </border>
    <border>
      <left style="thin">
        <color rgb="FFADB0BB"/>
      </left>
      <right style="thin">
        <color rgb="FF1F497D"/>
      </right>
      <top style="thin">
        <color rgb="FF1F497D"/>
      </top>
      <bottom style="thin">
        <color rgb="FF1F497D"/>
      </bottom>
    </border>
    <border>
      <right style="thin">
        <color rgb="FFAAAAAA"/>
      </right>
      <top style="thin">
        <color rgb="FFAAAAAA"/>
      </top>
    </border>
    <border>
      <left style="thin">
        <color rgb="FF1F497D"/>
      </left>
      <right style="thin">
        <color rgb="FFAAAAAA"/>
      </right>
      <top style="thin">
        <color rgb="FFAAAAAA"/>
      </top>
    </border>
    <border>
      <left style="thin">
        <color rgb="FF000000"/>
      </left>
      <right style="thin">
        <color rgb="FFAAAAAA"/>
      </right>
      <top style="thin">
        <color rgb="FFAAAAAA"/>
      </top>
      <bottom/>
    </border>
    <border>
      <left style="thin">
        <color rgb="FF000000"/>
      </left>
      <right style="thin">
        <color rgb="FF1F497D"/>
      </right>
      <top style="thin">
        <color rgb="FFAAAAAA"/>
      </top>
    </border>
    <border>
      <left style="thin">
        <color rgb="FF1F497D"/>
      </left>
      <right style="thin">
        <color rgb="FFADB0BB"/>
      </right>
      <top style="thin">
        <color rgb="FF1F497D"/>
      </top>
      <bottom style="thin">
        <color rgb="FF000000"/>
      </bottom>
    </border>
    <border>
      <left style="thin">
        <color rgb="FF1F497D"/>
      </left>
      <right style="thin">
        <color rgb="FFB9C1D2"/>
      </right>
      <top style="thin">
        <color rgb="FF1F497D"/>
      </top>
      <bottom style="thin">
        <color rgb="FFB9C1D2"/>
      </bottom>
    </border>
    <border>
      <left style="thin">
        <color rgb="FFADB0BB"/>
      </left>
      <right style="thin">
        <color rgb="FF1F497D"/>
      </right>
      <top style="thin">
        <color rgb="FF1F497D"/>
      </top>
      <bottom style="thin">
        <color rgb="FF000000"/>
      </bottom>
    </border>
    <border>
      <left style="thin">
        <color rgb="FFB9C1D2"/>
      </left>
      <right style="thin">
        <color rgb="FFB9C1D2"/>
      </right>
      <top style="thin">
        <color rgb="FF1F497D"/>
      </top>
      <bottom style="thin">
        <color rgb="FFB9C1D2"/>
      </bottom>
    </border>
    <border>
      <left style="thin">
        <color rgb="FF1F497D"/>
      </left>
      <right style="thin">
        <color rgb="FF000000"/>
      </right>
      <top style="thin">
        <color rgb="FFAAAAAA"/>
      </top>
    </border>
    <border>
      <right style="thin">
        <color rgb="FFAAAAAA"/>
      </right>
    </border>
    <border>
      <left style="thin">
        <color rgb="FF000000"/>
      </left>
      <right style="thin">
        <color rgb="FF000000"/>
      </right>
      <top style="thin">
        <color rgb="FFAAAAAA"/>
      </top>
    </border>
    <border>
      <left style="thin">
        <color rgb="FF000000"/>
      </left>
      <right style="thin">
        <color rgb="FF000000"/>
      </right>
    </border>
    <border>
      <left style="thin">
        <color rgb="FFB9C1D2"/>
      </left>
      <right style="thin">
        <color rgb="FF1F497D"/>
      </right>
      <top style="thin">
        <color rgb="FF1F497D"/>
      </top>
      <bottom style="thin">
        <color rgb="FFB9C1D2"/>
      </bottom>
    </border>
    <border>
      <left style="thin">
        <color rgb="FF1F497D"/>
      </left>
      <right style="thin">
        <color rgb="FFAAAAAA"/>
      </right>
    </border>
    <border>
      <left style="thin">
        <color rgb="FF1F497D"/>
      </left>
      <right style="thin">
        <color rgb="FFB9C1D2"/>
      </right>
      <top style="thin">
        <color rgb="FFB9C1D2"/>
      </top>
      <bottom style="thin">
        <color rgb="FFB9C1D2"/>
      </bottom>
    </border>
    <border>
      <left style="thin">
        <color rgb="FFB9C1D2"/>
      </left>
      <right style="thin">
        <color rgb="FFB9C1D2"/>
      </right>
      <top style="thin">
        <color rgb="FFB9C1D2"/>
      </top>
      <bottom style="thin">
        <color rgb="FFB9C1D2"/>
      </bottom>
    </border>
    <border>
      <left style="thin">
        <color rgb="FFB9C1D2"/>
      </left>
      <right style="thin">
        <color rgb="FF1F497D"/>
      </right>
      <top style="thin">
        <color rgb="FFB9C1D2"/>
      </top>
      <bottom style="thin">
        <color rgb="FFB9C1D2"/>
      </bottom>
    </border>
    <border>
      <left style="thin">
        <color rgb="FF000000"/>
      </left>
      <right style="thin">
        <color rgb="FFAAAAAA"/>
      </right>
      <top/>
      <bottom/>
    </border>
    <border>
      <left style="thin">
        <color rgb="FF000000"/>
      </left>
      <right style="thin">
        <color rgb="FFAAAAAA"/>
      </right>
    </border>
    <border>
      <left style="thin">
        <color rgb="FF000000"/>
      </left>
      <right style="thin">
        <color rgb="FFAAAAAA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AAAAAA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left style="thin">
        <color rgb="FF1F497D"/>
      </left>
      <right style="thin">
        <color rgb="FFB9C1D2"/>
      </right>
      <top style="thin">
        <color rgb="FFB9C1D2"/>
      </top>
      <bottom style="thick">
        <color rgb="FF1F497D"/>
      </bottom>
    </border>
    <border>
      <left style="thin">
        <color rgb="FFB9C1D2"/>
      </left>
      <right style="thin">
        <color rgb="FFB9C1D2"/>
      </right>
      <top style="thin">
        <color rgb="FFB9C1D2"/>
      </top>
      <bottom style="thick">
        <color rgb="FF1F497D"/>
      </bottom>
    </border>
    <border>
      <left style="thin">
        <color rgb="FFB9C1D2"/>
      </left>
      <right style="thin">
        <color rgb="FF1F497D"/>
      </right>
      <top style="thin">
        <color rgb="FFB9C1D2"/>
      </top>
      <bottom style="thick">
        <color rgb="FF1F497D"/>
      </bottom>
    </border>
    <border>
      <left style="thin">
        <color rgb="FFAAAAAA"/>
      </left>
      <top style="thick">
        <color rgb="FF1F497D"/>
      </top>
    </border>
    <border>
      <top style="thick">
        <color rgb="FF1F497D"/>
      </top>
    </border>
    <border>
      <left/>
      <right/>
      <top style="thick">
        <color rgb="FF1F497D"/>
      </top>
      <bottom/>
    </border>
    <border>
      <left style="thin">
        <color rgb="FFAAAAAA"/>
      </left>
    </border>
    <border>
      <left/>
      <right/>
      <top/>
      <bottom/>
    </border>
    <border>
      <left style="thin">
        <color rgb="FFAAAAAA"/>
      </left>
      <bottom style="thin">
        <color rgb="FF1F497D"/>
      </bottom>
    </border>
    <border>
      <bottom style="thin">
        <color rgb="FF1F497D"/>
      </bottom>
    </border>
    <border>
      <left/>
      <right/>
      <top/>
      <bottom style="thin">
        <color rgb="FF1F497D"/>
      </bottom>
    </border>
    <border>
      <left style="thin">
        <color rgb="FF1F497D"/>
      </left>
    </border>
    <border>
      <left style="thin">
        <color rgb="FFAAAAAA"/>
      </left>
      <top style="thick">
        <color rgb="FF1F497D"/>
      </top>
      <bottom style="thin">
        <color rgb="FFAAAAAA"/>
      </bottom>
    </border>
    <border>
      <top style="thick">
        <color rgb="FF1F497D"/>
      </top>
      <bottom style="thin">
        <color rgb="FFAAAAAA"/>
      </bottom>
    </border>
    <border>
      <left/>
      <right/>
      <top style="thick">
        <color rgb="FF1F497D"/>
      </top>
      <bottom style="thin">
        <color rgb="FFAAAAAA"/>
      </bottom>
    </border>
    <border>
      <left style="thin">
        <color rgb="FFAAAAAA"/>
      </left>
      <right/>
      <top style="thin">
        <color rgb="FF000000"/>
      </top>
      <bottom style="thin">
        <color rgb="FFAAAAAA"/>
      </bottom>
    </border>
    <border>
      <left/>
      <right/>
      <top style="thin">
        <color rgb="FF000000"/>
      </top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49" xfId="0" applyAlignment="1" applyBorder="1" applyFill="1" applyFont="1" applyNumberFormat="1">
      <alignment horizontal="left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2" fontId="3" numFmtId="49" xfId="0" applyAlignment="1" applyBorder="1" applyFill="1" applyFont="1" applyNumberFormat="1">
      <alignment horizontal="center" shrinkToFit="0" vertical="center" wrapText="1"/>
    </xf>
    <xf borderId="3" fillId="2" fontId="1" numFmtId="49" xfId="0" applyAlignment="1" applyBorder="1" applyFill="1" applyFont="1" applyNumberFormat="1">
      <alignment horizontal="left" shrinkToFit="0" vertical="center" wrapText="0"/>
    </xf>
    <xf borderId="1" fillId="2" fontId="4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1" fillId="2" fontId="3" numFmtId="49" xfId="0" applyAlignment="1" applyBorder="1" applyFill="1" applyFont="1" applyNumberFormat="1">
      <alignment horizontal="center" readingOrder="0" shrinkToFit="0" vertical="center" wrapText="1"/>
    </xf>
    <xf borderId="4" fillId="2" fontId="1" numFmtId="49" xfId="0" applyAlignment="1" applyBorder="1" applyFill="1" applyFont="1" applyNumberFormat="1">
      <alignment horizontal="left" shrinkToFit="0" vertical="center" wrapText="0"/>
    </xf>
    <xf borderId="5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7" fillId="3" fontId="5" numFmtId="0" xfId="0" applyAlignment="1" applyBorder="1" applyFill="1" applyFont="1">
      <alignment shrinkToFit="0" vertical="center" wrapText="0"/>
    </xf>
    <xf borderId="8" fillId="0" fontId="5" numFmtId="0" xfId="0" applyAlignment="1" applyBorder="1" applyFont="1">
      <alignment shrinkToFit="0" vertical="bottom" wrapText="0"/>
    </xf>
    <xf borderId="9" fillId="2" fontId="1" numFmtId="49" xfId="0" applyAlignment="1" applyBorder="1" applyFill="1" applyFont="1" applyNumberFormat="1">
      <alignment horizontal="center" shrinkToFit="0" vertical="center" wrapText="0"/>
    </xf>
    <xf borderId="1" fillId="3" fontId="6" numFmtId="49" xfId="0" applyAlignment="1" applyBorder="1" applyFill="1" applyFont="1" applyNumberFormat="1">
      <alignment horizontal="center" readingOrder="0" shrinkToFit="0" vertical="center" wrapText="0"/>
    </xf>
    <xf borderId="10" fillId="3" fontId="7" numFmtId="0" xfId="0" applyAlignment="1" applyBorder="1" applyFill="1" applyFont="1">
      <alignment horizontal="center" shrinkToFit="0" vertical="center" wrapText="0"/>
    </xf>
    <xf borderId="11" fillId="2" fontId="1" numFmtId="49" xfId="0" applyAlignment="1" applyBorder="1" applyFill="1" applyFont="1" applyNumberFormat="1">
      <alignment horizontal="center" shrinkToFit="0" vertical="center" wrapText="0"/>
    </xf>
    <xf borderId="1" fillId="3" fontId="8" numFmtId="49" xfId="0" applyAlignment="1" applyBorder="1" applyFill="1" applyFont="1" applyNumberFormat="1">
      <alignment horizontal="center" readingOrder="0" shrinkToFit="0" vertical="center" wrapText="1"/>
    </xf>
    <xf borderId="12" fillId="3" fontId="9" numFmtId="49" xfId="0" applyAlignment="1" applyBorder="1" applyFill="1" applyFont="1" applyNumberFormat="1">
      <alignment horizontal="left" shrinkToFit="0" vertical="center" wrapText="0"/>
    </xf>
    <xf borderId="13" fillId="0" fontId="5" numFmtId="0" xfId="0" applyAlignment="1" applyBorder="1" applyFont="1">
      <alignment shrinkToFit="0" vertical="bottom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12" fillId="3" fontId="10" numFmtId="49" xfId="0" applyAlignment="1" applyBorder="1" applyFill="1" applyFont="1" applyNumberFormat="1">
      <alignment shrinkToFit="0" vertical="center" wrapText="0"/>
    </xf>
    <xf borderId="1" fillId="3" fontId="11" numFmtId="164" xfId="0" applyAlignment="1" applyBorder="1" applyFill="1" applyFont="1" applyNumberFormat="1">
      <alignment horizontal="right" readingOrder="0" shrinkToFit="0" vertical="center" wrapText="1"/>
    </xf>
    <xf borderId="1" fillId="2" fontId="1" numFmtId="49" xfId="0" applyAlignment="1" applyBorder="1" applyFill="1" applyFont="1" applyNumberFormat="1">
      <alignment shrinkToFit="0" vertical="bottom" wrapText="0"/>
    </xf>
    <xf borderId="12" fillId="3" fontId="12" numFmtId="165" xfId="0" applyAlignment="1" applyBorder="1" applyFill="1" applyFont="1" applyNumberFormat="1">
      <alignment shrinkToFit="0" vertical="bottom" wrapText="0"/>
    </xf>
    <xf borderId="1" fillId="3" fontId="8" numFmtId="164" xfId="0" applyAlignment="1" applyBorder="1" applyFill="1" applyFont="1" applyNumberFormat="1">
      <alignment horizontal="right" readingOrder="0" shrinkToFit="0" vertical="center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12" fillId="0" fontId="12" numFmtId="165" xfId="0" applyAlignment="1" applyBorder="1" applyFont="1" applyNumberFormat="1">
      <alignment shrinkToFit="0" vertical="bottom" wrapText="0"/>
    </xf>
    <xf borderId="14" fillId="0" fontId="5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shrinkToFit="0" vertical="bottom" wrapText="0"/>
    </xf>
    <xf borderId="1" fillId="4" fontId="8" numFmtId="49" xfId="0" applyAlignment="1" applyBorder="1" applyFill="1" applyFont="1" applyNumberFormat="1">
      <alignment horizontal="center" readingOrder="0" shrinkToFit="0" vertical="center" wrapText="0"/>
    </xf>
    <xf borderId="1" fillId="4" fontId="8" numFmtId="0" xfId="0" applyAlignment="1" applyBorder="1" applyFill="1" applyFont="1">
      <alignment horizontal="center" readingOrder="0" shrinkToFit="0" vertical="center" wrapText="0"/>
    </xf>
    <xf borderId="1" fillId="4" fontId="11" numFmtId="164" xfId="0" applyAlignment="1" applyBorder="1" applyFill="1" applyFont="1" applyNumberFormat="1">
      <alignment horizontal="right" readingOrder="0" shrinkToFit="0" vertical="center" wrapText="0"/>
    </xf>
    <xf borderId="1" fillId="4" fontId="8" numFmtId="164" xfId="0" applyAlignment="1" applyBorder="1" applyFill="1" applyFont="1" applyNumberFormat="1">
      <alignment horizontal="right" readingOrder="0" shrinkToFit="0" vertical="center" wrapText="0"/>
    </xf>
    <xf borderId="1" fillId="3" fontId="9" numFmtId="49" xfId="0" applyAlignment="1" applyBorder="1" applyFill="1" applyFont="1" applyNumberFormat="1">
      <alignment horizontal="left" shrinkToFit="0" vertical="center" wrapText="0"/>
    </xf>
    <xf borderId="1" fillId="4" fontId="5" numFmtId="49" xfId="0" applyAlignment="1" applyBorder="1" applyFill="1" applyFont="1" applyNumberFormat="1">
      <alignment horizontal="center" readingOrder="0" shrinkToFit="0" vertical="center" wrapText="0"/>
    </xf>
    <xf borderId="1" fillId="3" fontId="8" numFmtId="49" xfId="0" applyAlignment="1" applyBorder="1" applyFill="1" applyFont="1" applyNumberFormat="1">
      <alignment horizontal="center" readingOrder="0" shrinkToFit="0" vertical="center" wrapText="0"/>
    </xf>
    <xf borderId="1" fillId="3" fontId="10" numFmtId="49" xfId="0" applyAlignment="1" applyBorder="1" applyFill="1" applyFont="1" applyNumberFormat="1">
      <alignment horizontal="left" shrinkToFit="0" vertical="center" wrapText="0"/>
    </xf>
    <xf borderId="1" fillId="3" fontId="5" numFmtId="166" xfId="0" applyAlignment="1" applyBorder="1" applyFill="1" applyFont="1" applyNumberFormat="1">
      <alignment horizontal="center" readingOrder="0" shrinkToFit="0" vertical="center" wrapText="0"/>
    </xf>
    <xf borderId="1" fillId="3" fontId="11" numFmtId="164" xfId="0" applyAlignment="1" applyBorder="1" applyFill="1" applyFont="1" applyNumberFormat="1">
      <alignment horizontal="right" readingOrder="0" shrinkToFit="0" vertical="center" wrapText="0"/>
    </xf>
    <xf borderId="1" fillId="3" fontId="13" numFmtId="164" xfId="0" applyAlignment="1" applyBorder="1" applyFill="1" applyFont="1" applyNumberFormat="1">
      <alignment horizontal="right" shrinkToFit="0" vertical="center" wrapText="0"/>
    </xf>
    <xf borderId="1" fillId="3" fontId="14" numFmtId="164" xfId="0" applyAlignment="1" applyBorder="1" applyFill="1" applyFont="1" applyNumberFormat="1">
      <alignment horizontal="center" readingOrder="0" shrinkToFit="0" vertical="center" wrapText="0"/>
    </xf>
    <xf borderId="1" fillId="3" fontId="15" numFmtId="164" xfId="0" applyAlignment="1" applyBorder="1" applyFill="1" applyFont="1" applyNumberFormat="1">
      <alignment horizontal="right" readingOrder="0" shrinkToFit="0" vertical="center" wrapText="0"/>
    </xf>
    <xf borderId="16" fillId="0" fontId="5" numFmtId="0" xfId="0" applyAlignment="1" applyBorder="1" applyFont="1">
      <alignment shrinkToFit="0" vertical="bottom" wrapText="0"/>
    </xf>
    <xf borderId="1" fillId="3" fontId="16" numFmtId="0" xfId="0" applyAlignment="1" applyBorder="1" applyFill="1" applyFont="1">
      <alignment horizontal="right" readingOrder="0" shrinkToFit="0" vertical="center" wrapText="0"/>
    </xf>
    <xf borderId="1" fillId="3" fontId="13" numFmtId="0" xfId="0" applyAlignment="1" applyBorder="1" applyFill="1" applyFont="1">
      <alignment horizontal="right" readingOrder="0" shrinkToFit="0" vertical="center" wrapText="0"/>
    </xf>
    <xf borderId="12" fillId="0" fontId="11" numFmtId="165" xfId="0" applyAlignment="1" applyBorder="1" applyFont="1" applyNumberFormat="1">
      <alignment shrinkToFit="0" vertical="bottom" wrapText="0"/>
    </xf>
    <xf borderId="1" fillId="3" fontId="13" numFmtId="164" xfId="0" applyAlignment="1" applyBorder="1" applyFill="1" applyFont="1" applyNumberFormat="1">
      <alignment horizontal="right" readingOrder="0" shrinkToFit="0" vertical="center" wrapText="0"/>
    </xf>
    <xf borderId="1" fillId="4" fontId="6" numFmtId="49" xfId="0" applyAlignment="1" applyBorder="1" applyFill="1" applyFont="1" applyNumberFormat="1">
      <alignment horizontal="center" readingOrder="0" shrinkToFit="0" vertical="center" wrapText="0"/>
    </xf>
    <xf borderId="1" fillId="4" fontId="6" numFmtId="0" xfId="0" applyAlignment="1" applyBorder="1" applyFill="1" applyFont="1">
      <alignment horizontal="center" readingOrder="0" shrinkToFit="0" vertical="center" wrapText="0"/>
    </xf>
    <xf borderId="1" fillId="4" fontId="6" numFmtId="164" xfId="0" applyAlignment="1" applyBorder="1" applyFill="1" applyFont="1" applyNumberFormat="1">
      <alignment horizontal="right" readingOrder="0" shrinkToFit="0" vertical="center" wrapText="0"/>
    </xf>
    <xf borderId="1" fillId="5" fontId="17" numFmtId="164" xfId="0" applyAlignment="1" applyBorder="1" applyFill="1" applyFont="1" applyNumberFormat="1">
      <alignment horizontal="center" shrinkToFit="0" vertical="center" wrapText="0"/>
    </xf>
    <xf borderId="1" fillId="0" fontId="5" numFmtId="49" xfId="0" applyAlignment="1" applyBorder="1" applyFont="1" applyNumberFormat="1">
      <alignment readingOrder="0" shrinkToFit="0" vertical="bottom" wrapText="0"/>
    </xf>
    <xf borderId="1" fillId="0" fontId="14" numFmtId="167" xfId="0" applyAlignment="1" applyBorder="1" applyFont="1" applyNumberFormat="1">
      <alignment readingOrder="0" shrinkToFit="0" vertical="bottom" wrapText="0"/>
    </xf>
    <xf borderId="1" fillId="0" fontId="14" numFmtId="16" xfId="0" applyAlignment="1" applyBorder="1" applyFont="1" applyNumberFormat="1">
      <alignment horizontal="center" readingOrder="0" shrinkToFit="0" vertical="bottom" wrapText="0"/>
    </xf>
    <xf borderId="17" fillId="0" fontId="11" numFmtId="165" xfId="0" applyAlignment="1" applyBorder="1" applyFont="1" applyNumberFormat="1">
      <alignment shrinkToFit="0" vertical="bottom" wrapText="0"/>
    </xf>
    <xf borderId="1" fillId="3" fontId="16" numFmtId="164" xfId="0" applyAlignment="1" applyBorder="1" applyFill="1" applyFont="1" applyNumberFormat="1">
      <alignment horizontal="right" shrinkToFit="0" vertical="center" wrapText="0"/>
    </xf>
    <xf borderId="1" fillId="3" fontId="18" numFmtId="49" xfId="0" applyAlignment="1" applyBorder="1" applyFill="1" applyFont="1" applyNumberFormat="1">
      <alignment horizontal="center" readingOrder="0" shrinkToFit="0" vertical="center" wrapText="0"/>
    </xf>
    <xf borderId="18" fillId="0" fontId="5" numFmtId="0" xfId="0" applyAlignment="1" applyBorder="1" applyFont="1">
      <alignment shrinkToFit="0" vertical="bottom" wrapText="0"/>
    </xf>
    <xf borderId="19" fillId="4" fontId="7" numFmtId="0" xfId="0" applyAlignment="1" applyBorder="1" applyFill="1" applyFont="1">
      <alignment horizontal="center" shrinkToFit="0" vertical="center" wrapText="0"/>
    </xf>
    <xf borderId="1" fillId="3" fontId="15" numFmtId="9" xfId="0" applyAlignment="1" applyBorder="1" applyFill="1" applyFont="1" applyNumberFormat="1">
      <alignment horizontal="center" shrinkToFit="0" vertical="center" wrapText="0"/>
    </xf>
    <xf borderId="20" fillId="4" fontId="9" numFmtId="49" xfId="0" applyAlignment="1" applyBorder="1" applyFill="1" applyFont="1" applyNumberFormat="1">
      <alignment horizontal="left" shrinkToFit="0" vertical="center" wrapText="0"/>
    </xf>
    <xf borderId="20" fillId="4" fontId="10" numFmtId="49" xfId="0" applyAlignment="1" applyBorder="1" applyFill="1" applyFont="1" applyNumberFormat="1">
      <alignment shrinkToFit="0" vertical="center" wrapText="0"/>
    </xf>
    <xf borderId="20" fillId="4" fontId="12" numFmtId="165" xfId="0" applyAlignment="1" applyBorder="1" applyFill="1" applyFont="1" applyNumberFormat="1">
      <alignment shrinkToFit="0" vertical="bottom" wrapText="0"/>
    </xf>
    <xf borderId="1" fillId="3" fontId="18" numFmtId="49" xfId="0" applyAlignment="1" applyBorder="1" applyFill="1" applyFont="1" applyNumberFormat="1">
      <alignment horizontal="center" shrinkToFit="0" vertical="center" wrapText="0"/>
    </xf>
    <xf borderId="1" fillId="3" fontId="15" numFmtId="164" xfId="0" applyAlignment="1" applyBorder="1" applyFill="1" applyFont="1" applyNumberFormat="1">
      <alignment horizontal="right" shrinkToFit="0" vertical="center" wrapText="0"/>
    </xf>
    <xf borderId="20" fillId="4" fontId="11" numFmtId="165" xfId="0" applyAlignment="1" applyBorder="1" applyFill="1" applyFont="1" applyNumberFormat="1">
      <alignment shrinkToFit="0" vertical="bottom" wrapText="0"/>
    </xf>
    <xf borderId="1" fillId="0" fontId="18" numFmtId="164" xfId="0" applyAlignment="1" applyBorder="1" applyFont="1" applyNumberFormat="1">
      <alignment shrinkToFit="0" vertical="bottom" wrapText="0"/>
    </xf>
    <xf borderId="1" fillId="3" fontId="19" numFmtId="164" xfId="0" applyAlignment="1" applyBorder="1" applyFill="1" applyFont="1" applyNumberFormat="1">
      <alignment shrinkToFit="0" vertical="center" wrapText="0"/>
    </xf>
    <xf borderId="21" fillId="4" fontId="11" numFmtId="165" xfId="0" applyAlignment="1" applyBorder="1" applyFill="1" applyFont="1" applyNumberFormat="1">
      <alignment shrinkToFit="0" vertical="bottom" wrapText="0"/>
    </xf>
    <xf borderId="1" fillId="0" fontId="19" numFmtId="164" xfId="0" applyAlignment="1" applyBorder="1" applyFont="1" applyNumberFormat="1">
      <alignment shrinkToFit="0" vertical="bottom" wrapText="0"/>
    </xf>
    <xf borderId="19" fillId="3" fontId="7" numFmtId="0" xfId="0" applyAlignment="1" applyBorder="1" applyFill="1" applyFont="1">
      <alignment horizontal="center" shrinkToFit="0" vertical="center" wrapText="0"/>
    </xf>
    <xf borderId="20" fillId="3" fontId="9" numFmtId="49" xfId="0" applyAlignment="1" applyBorder="1" applyFill="1" applyFont="1" applyNumberFormat="1">
      <alignment horizontal="left" shrinkToFit="0" vertical="center" wrapText="0"/>
    </xf>
    <xf borderId="1" fillId="3" fontId="20" numFmtId="164" xfId="0" applyAlignment="1" applyBorder="1" applyFill="1" applyFont="1" applyNumberFormat="1">
      <alignment shrinkToFit="0" vertical="center" wrapText="0"/>
    </xf>
    <xf borderId="22" fillId="3" fontId="5" numFmtId="0" xfId="0" applyAlignment="1" applyBorder="1" applyFill="1" applyFont="1">
      <alignment shrinkToFit="0" vertical="center" wrapText="0"/>
    </xf>
    <xf borderId="20" fillId="3" fontId="10" numFmtId="49" xfId="0" applyAlignment="1" applyBorder="1" applyFill="1" applyFont="1" applyNumberFormat="1">
      <alignment shrinkToFit="0" vertical="center" wrapText="0"/>
    </xf>
    <xf borderId="1" fillId="3" fontId="5" numFmtId="168" xfId="0" applyAlignment="1" applyBorder="1" applyFill="1" applyFont="1" applyNumberFormat="1">
      <alignment horizontal="center" shrinkToFit="0" vertical="center" wrapText="0"/>
    </xf>
    <xf borderId="20" fillId="3" fontId="12" numFmtId="165" xfId="0" applyAlignment="1" applyBorder="1" applyFill="1" applyFont="1" applyNumberFormat="1">
      <alignment shrinkToFit="0" vertical="bottom" wrapText="0"/>
    </xf>
    <xf borderId="20" fillId="0" fontId="12" numFmtId="165" xfId="0" applyAlignment="1" applyBorder="1" applyFont="1" applyNumberFormat="1">
      <alignment shrinkToFit="0" vertical="bottom" wrapText="0"/>
    </xf>
    <xf borderId="1" fillId="4" fontId="9" numFmtId="49" xfId="0" applyAlignment="1" applyBorder="1" applyFill="1" applyFont="1" applyNumberFormat="1">
      <alignment horizontal="left" shrinkToFit="0" vertical="center" wrapText="0"/>
    </xf>
    <xf borderId="1" fillId="4" fontId="10" numFmtId="49" xfId="0" applyAlignment="1" applyBorder="1" applyFill="1" applyFont="1" applyNumberFormat="1">
      <alignment horizontal="left" shrinkToFit="0" vertical="center" wrapText="0"/>
    </xf>
    <xf borderId="1" fillId="4" fontId="13" numFmtId="164" xfId="0" applyAlignment="1" applyBorder="1" applyFill="1" applyFont="1" applyNumberFormat="1">
      <alignment horizontal="right" shrinkToFit="0" vertical="center" wrapText="0"/>
    </xf>
    <xf borderId="1" fillId="4" fontId="15" numFmtId="164" xfId="0" applyAlignment="1" applyBorder="1" applyFill="1" applyFont="1" applyNumberFormat="1">
      <alignment horizontal="right" readingOrder="0" shrinkToFit="0" vertical="center" wrapText="0"/>
    </xf>
    <xf borderId="1" fillId="4" fontId="16" numFmtId="0" xfId="0" applyAlignment="1" applyBorder="1" applyFill="1" applyFont="1">
      <alignment horizontal="right" readingOrder="0" shrinkToFit="0" vertical="center" wrapText="0"/>
    </xf>
    <xf borderId="1" fillId="4" fontId="13" numFmtId="0" xfId="0" applyAlignment="1" applyBorder="1" applyFill="1" applyFont="1">
      <alignment horizontal="right" readingOrder="0" shrinkToFit="0" vertical="center" wrapText="0"/>
    </xf>
    <xf borderId="20" fillId="0" fontId="11" numFmtId="165" xfId="0" applyAlignment="1" applyBorder="1" applyFont="1" applyNumberFormat="1">
      <alignment shrinkToFit="0" vertical="bottom" wrapText="0"/>
    </xf>
    <xf borderId="0" fillId="0" fontId="21" numFmtId="0" xfId="0" applyAlignment="1" applyFont="1">
      <alignment readingOrder="0"/>
    </xf>
    <xf borderId="1" fillId="4" fontId="5" numFmtId="166" xfId="0" applyAlignment="1" applyBorder="1" applyFill="1" applyFont="1" applyNumberFormat="1">
      <alignment horizontal="center" readingOrder="0" shrinkToFit="0" vertical="center" wrapText="0"/>
    </xf>
    <xf borderId="1" fillId="4" fontId="14" numFmtId="164" xfId="0" applyAlignment="1" applyBorder="1" applyFill="1" applyFont="1" applyNumberFormat="1">
      <alignment horizontal="center" readingOrder="0" shrinkToFit="0" vertical="center" wrapText="0"/>
    </xf>
    <xf borderId="1" fillId="4" fontId="14" numFmtId="164" xfId="0" applyAlignment="1" applyBorder="1" applyFill="1" applyFont="1" applyNumberFormat="1">
      <alignment horizontal="center" shrinkToFit="0" vertical="center" wrapText="0"/>
    </xf>
    <xf borderId="1" fillId="6" fontId="22" numFmtId="164" xfId="0" applyAlignment="1" applyBorder="1" applyFill="1" applyFont="1" applyNumberFormat="1">
      <alignment horizontal="center" readingOrder="0" shrinkToFit="0" vertical="center" wrapText="0"/>
    </xf>
    <xf borderId="21" fillId="0" fontId="11" numFmtId="165" xfId="0" applyAlignment="1" applyBorder="1" applyFont="1" applyNumberFormat="1">
      <alignment shrinkToFit="0" vertical="bottom" wrapText="0"/>
    </xf>
    <xf borderId="1" fillId="0" fontId="14" numFmtId="164" xfId="0" applyAlignment="1" applyBorder="1" applyFont="1" applyNumberFormat="1">
      <alignment readingOrder="0" shrinkToFit="0" vertical="bottom" wrapText="0"/>
    </xf>
    <xf borderId="1" fillId="4" fontId="18" numFmtId="49" xfId="0" applyAlignment="1" applyBorder="1" applyFill="1" applyFont="1" applyNumberFormat="1">
      <alignment horizontal="center" readingOrder="0" shrinkToFit="0" vertical="center" wrapText="0"/>
    </xf>
    <xf borderId="1" fillId="4" fontId="18" numFmtId="0" xfId="0" applyAlignment="1" applyBorder="1" applyFill="1" applyFont="1">
      <alignment horizontal="center" shrinkToFit="0" vertical="center" wrapText="0"/>
    </xf>
    <xf borderId="1" fillId="3" fontId="8" numFmtId="49" xfId="0" applyAlignment="1" applyBorder="1" applyFill="1" applyFont="1" applyNumberFormat="1">
      <alignment horizontal="center" shrinkToFit="0" vertical="center" wrapText="0"/>
    </xf>
    <xf borderId="1" fillId="3" fontId="8" numFmtId="0" xfId="0" applyAlignment="1" applyBorder="1" applyFill="1" applyFont="1">
      <alignment horizontal="center" shrinkToFit="0" vertical="center" wrapText="0"/>
    </xf>
    <xf borderId="1" fillId="3" fontId="11" numFmtId="164" xfId="0" applyAlignment="1" applyBorder="1" applyFill="1" applyFont="1" applyNumberFormat="1">
      <alignment horizontal="right" shrinkToFit="0" vertical="center" wrapText="0"/>
    </xf>
    <xf borderId="1" fillId="3" fontId="8" numFmtId="164" xfId="0" applyAlignment="1" applyBorder="1" applyFill="1" applyFont="1" applyNumberFormat="1">
      <alignment horizontal="right" shrinkToFit="0" vertical="center" wrapText="0"/>
    </xf>
    <xf borderId="1" fillId="4" fontId="18" numFmtId="164" xfId="0" applyAlignment="1" applyBorder="1" applyFill="1" applyFont="1" applyNumberFormat="1">
      <alignment shrinkToFit="0" vertical="bottom" wrapText="0"/>
    </xf>
    <xf borderId="1" fillId="0" fontId="14" numFmtId="164" xfId="0" applyAlignment="1" applyBorder="1" applyFont="1" applyNumberFormat="1">
      <alignment shrinkToFit="0" vertical="bottom" wrapText="0"/>
    </xf>
    <xf borderId="23" fillId="0" fontId="5" numFmtId="0" xfId="0" applyAlignment="1" applyBorder="1" applyFont="1">
      <alignment shrinkToFit="0" vertical="bottom" wrapText="0"/>
    </xf>
    <xf borderId="1" fillId="4" fontId="8" numFmtId="49" xfId="0" applyAlignment="1" applyBorder="1" applyFill="1" applyFont="1" applyNumberFormat="1">
      <alignment horizontal="center" shrinkToFit="0" vertical="center" wrapText="0"/>
    </xf>
    <xf borderId="1" fillId="4" fontId="8" numFmtId="0" xfId="0" applyAlignment="1" applyBorder="1" applyFill="1" applyFont="1">
      <alignment horizontal="center" shrinkToFit="0" vertical="center" wrapText="0"/>
    </xf>
    <xf borderId="1" fillId="4" fontId="11" numFmtId="164" xfId="0" applyAlignment="1" applyBorder="1" applyFill="1" applyFont="1" applyNumberFormat="1">
      <alignment horizontal="right" shrinkToFit="0" vertical="center" wrapText="0"/>
    </xf>
    <xf borderId="1" fillId="4" fontId="8" numFmtId="164" xfId="0" applyAlignment="1" applyBorder="1" applyFill="1" applyFont="1" applyNumberFormat="1">
      <alignment horizontal="right" shrinkToFit="0" vertical="center" wrapText="0"/>
    </xf>
    <xf borderId="1" fillId="4" fontId="19" numFmtId="164" xfId="0" applyAlignment="1" applyBorder="1" applyFill="1" applyFont="1" applyNumberFormat="1">
      <alignment shrinkToFit="0" vertical="bottom" wrapText="0"/>
    </xf>
    <xf borderId="24" fillId="0" fontId="5" numFmtId="0" xfId="0" applyAlignment="1" applyBorder="1" applyFont="1">
      <alignment shrinkToFit="0" vertical="bottom" wrapText="0"/>
    </xf>
    <xf borderId="1" fillId="3" fontId="5" numFmtId="49" xfId="0" applyAlignment="1" applyBorder="1" applyFill="1" applyFont="1" applyNumberFormat="1">
      <alignment horizontal="center" shrinkToFit="0" vertical="center" wrapText="0"/>
    </xf>
    <xf borderId="1" fillId="0" fontId="19" numFmtId="49" xfId="0" applyAlignment="1" applyBorder="1" applyFont="1" applyNumberFormat="1">
      <alignment readingOrder="0" shrinkToFit="0" vertical="bottom" wrapText="0"/>
    </xf>
    <xf borderId="1" fillId="3" fontId="5" numFmtId="166" xfId="0" applyAlignment="1" applyBorder="1" applyFill="1" applyFont="1" applyNumberFormat="1">
      <alignment horizontal="center" shrinkToFit="0" vertical="center" wrapText="0"/>
    </xf>
    <xf borderId="1" fillId="3" fontId="14" numFmtId="164" xfId="0" applyAlignment="1" applyBorder="1" applyFill="1" applyFont="1" applyNumberFormat="1">
      <alignment horizontal="center" shrinkToFit="0" vertical="center" wrapText="0"/>
    </xf>
    <xf borderId="1" fillId="3" fontId="5" numFmtId="164" xfId="0" applyAlignment="1" applyBorder="1" applyFill="1" applyFont="1" applyNumberFormat="1">
      <alignment horizontal="center" shrinkToFit="0" vertical="center" wrapText="0"/>
    </xf>
    <xf borderId="1" fillId="4" fontId="5" numFmtId="49" xfId="0" applyAlignment="1" applyBorder="1" applyFill="1" applyFont="1" applyNumberFormat="1">
      <alignment readingOrder="0" shrinkToFit="0" vertical="bottom" wrapText="0"/>
    </xf>
    <xf borderId="1" fillId="4" fontId="14" numFmtId="164" xfId="0" applyAlignment="1" applyBorder="1" applyFill="1" applyFont="1" applyNumberFormat="1">
      <alignment readingOrder="0" shrinkToFit="0" vertical="bottom" wrapText="0"/>
    </xf>
    <xf borderId="1" fillId="4" fontId="14" numFmtId="16" xfId="0" applyAlignment="1" applyBorder="1" applyFill="1" applyFont="1" applyNumberFormat="1">
      <alignment horizontal="center" readingOrder="0" shrinkToFit="0" vertical="bottom" wrapText="0"/>
    </xf>
    <xf borderId="1" fillId="4" fontId="6" numFmtId="49" xfId="0" applyAlignment="1" applyBorder="1" applyFill="1" applyFont="1" applyNumberFormat="1">
      <alignment horizontal="center" shrinkToFit="0" vertical="center" wrapText="0"/>
    </xf>
    <xf borderId="1" fillId="0" fontId="18" numFmtId="49" xfId="0" applyAlignment="1" applyBorder="1" applyFont="1" applyNumberFormat="1">
      <alignment readingOrder="0" shrinkToFit="0" vertical="bottom" wrapText="0"/>
    </xf>
    <xf borderId="1" fillId="3" fontId="18" numFmtId="0" xfId="0" applyAlignment="1" applyBorder="1" applyFill="1" applyFont="1">
      <alignment horizontal="center" shrinkToFit="0" vertical="center" wrapText="0"/>
    </xf>
    <xf borderId="1" fillId="0" fontId="18" numFmtId="49" xfId="0" applyAlignment="1" applyBorder="1" applyFont="1" applyNumberFormat="1">
      <alignment horizontal="center" shrinkToFit="0" vertical="bottom" wrapText="0"/>
    </xf>
    <xf borderId="25" fillId="0" fontId="5" numFmtId="0" xfId="0" applyAlignment="1" applyBorder="1" applyFont="1">
      <alignment readingOrder="0" shrinkToFit="0" vertical="bottom" wrapText="0"/>
    </xf>
    <xf borderId="26" fillId="0" fontId="5" numFmtId="0" xfId="0" applyAlignment="1" applyBorder="1" applyFont="1">
      <alignment shrinkToFit="0" vertical="bottom" wrapText="0"/>
    </xf>
    <xf borderId="1" fillId="3" fontId="9" numFmtId="49" xfId="0" applyAlignment="1" applyBorder="1" applyFill="1" applyFont="1" applyNumberFormat="1">
      <alignment horizontal="left" readingOrder="0" shrinkToFit="0" vertical="center" wrapText="0"/>
    </xf>
    <xf borderId="1" fillId="3" fontId="10" numFmtId="49" xfId="0" applyAlignment="1" applyBorder="1" applyFill="1" applyFont="1" applyNumberFormat="1">
      <alignment horizontal="left" readingOrder="0" shrinkToFit="0" vertical="center" wrapText="0"/>
    </xf>
    <xf borderId="27" fillId="0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horizontal="center" readingOrder="0" shrinkToFit="0" vertical="center" wrapText="0"/>
    </xf>
    <xf borderId="28" fillId="0" fontId="5" numFmtId="0" xfId="0" applyAlignment="1" applyBorder="1" applyFont="1">
      <alignment shrinkToFit="0" vertical="bottom" wrapText="0"/>
    </xf>
    <xf borderId="29" fillId="0" fontId="5" numFmtId="49" xfId="0" applyAlignment="1" applyBorder="1" applyFont="1" applyNumberFormat="1">
      <alignment shrinkToFit="0" vertical="bottom" wrapText="0"/>
    </xf>
    <xf borderId="29" fillId="0" fontId="5" numFmtId="0" xfId="0" applyAlignment="1" applyBorder="1" applyFont="1">
      <alignment shrinkToFit="0" vertical="bottom" wrapText="0"/>
    </xf>
    <xf borderId="30" fillId="0" fontId="5" numFmtId="0" xfId="0" applyAlignment="1" applyBorder="1" applyFont="1">
      <alignment shrinkToFit="0" vertical="bottom" wrapText="0"/>
    </xf>
    <xf borderId="1" fillId="4" fontId="18" numFmtId="49" xfId="0" applyAlignment="1" applyBorder="1" applyFill="1" applyFont="1" applyNumberFormat="1">
      <alignment horizontal="center" shrinkToFit="0" vertical="center" wrapText="0"/>
    </xf>
    <xf borderId="25" fillId="0" fontId="5" numFmtId="0" xfId="0" applyAlignment="1" applyBorder="1" applyFont="1">
      <alignment shrinkToFit="0" vertical="bottom" wrapText="0"/>
    </xf>
    <xf borderId="1" fillId="4" fontId="5" numFmtId="49" xfId="0" applyAlignment="1" applyBorder="1" applyFill="1" applyFont="1" applyNumberFormat="1">
      <alignment horizontal="center" shrinkToFit="0" vertical="center" wrapText="0"/>
    </xf>
    <xf borderId="1" fillId="4" fontId="5" numFmtId="166" xfId="0" applyAlignment="1" applyBorder="1" applyFill="1" applyFont="1" applyNumberFormat="1">
      <alignment horizontal="center" shrinkToFit="0" vertical="center" wrapText="0"/>
    </xf>
    <xf borderId="1" fillId="3" fontId="1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readingOrder="0" shrinkToFit="0" vertical="bottom" wrapText="0"/>
    </xf>
    <xf borderId="20" fillId="3" fontId="9" numFmtId="0" xfId="0" applyAlignment="1" applyBorder="1" applyFill="1" applyFont="1">
      <alignment horizontal="left" shrinkToFit="0" vertical="center" wrapText="0"/>
    </xf>
    <xf borderId="1" fillId="4" fontId="14" numFmtId="16" xfId="0" applyAlignment="1" applyBorder="1" applyFill="1" applyFont="1" applyNumberFormat="1">
      <alignment horizontal="center" shrinkToFit="0" vertical="bottom" wrapText="0"/>
    </xf>
    <xf borderId="20" fillId="3" fontId="10" numFmtId="0" xfId="0" applyAlignment="1" applyBorder="1" applyFill="1" applyFont="1">
      <alignment horizontal="left" shrinkToFit="0" vertical="center" wrapText="0"/>
    </xf>
    <xf borderId="1" fillId="4" fontId="19" numFmtId="0" xfId="0" applyAlignment="1" applyBorder="1" applyFill="1" applyFont="1">
      <alignment horizontal="center" shrinkToFit="0" vertical="center" wrapText="0"/>
    </xf>
    <xf borderId="1" fillId="3" fontId="6" numFmtId="49" xfId="0" applyAlignment="1" applyBorder="1" applyFill="1" applyFont="1" applyNumberFormat="1">
      <alignment horizontal="center" shrinkToFit="0" vertical="center" wrapText="0"/>
    </xf>
    <xf borderId="1" fillId="4" fontId="19" numFmtId="164" xfId="0" applyAlignment="1" applyBorder="1" applyFill="1" applyFont="1" applyNumberFormat="1">
      <alignment horizontal="center" shrinkToFit="0" vertical="center" wrapText="0"/>
    </xf>
    <xf borderId="1" fillId="3" fontId="19" numFmtId="0" xfId="0" applyAlignment="1" applyBorder="1" applyFill="1" applyFont="1">
      <alignment horizontal="center" shrinkToFit="0" vertical="center" wrapText="0"/>
    </xf>
    <xf borderId="1" fillId="3" fontId="19" numFmtId="164" xfId="0" applyAlignment="1" applyBorder="1" applyFill="1" applyFont="1" applyNumberFormat="1">
      <alignment horizontal="center" shrinkToFit="0" vertical="center" wrapText="0"/>
    </xf>
    <xf borderId="31" fillId="0" fontId="5" numFmtId="0" xfId="0" applyAlignment="1" applyBorder="1" applyFont="1">
      <alignment shrinkToFit="0" vertical="bottom" wrapText="0"/>
    </xf>
    <xf borderId="1" fillId="4" fontId="14" numFmtId="0" xfId="0" applyAlignment="1" applyBorder="1" applyFill="1" applyFont="1">
      <alignment horizontal="center" shrinkToFit="0" vertical="center" wrapText="0"/>
    </xf>
    <xf borderId="1" fillId="0" fontId="14" numFmtId="16" xfId="0" applyAlignment="1" applyBorder="1" applyFont="1" applyNumberFormat="1">
      <alignment horizontal="center" shrinkToFit="0" vertical="bottom" wrapText="0"/>
    </xf>
    <xf borderId="1" fillId="0" fontId="18" numFmtId="0" xfId="0" applyAlignment="1" applyBorder="1" applyFont="1">
      <alignment horizontal="center" shrinkToFit="0" vertical="bottom" wrapText="0"/>
    </xf>
    <xf borderId="32" fillId="7" fontId="23" numFmtId="49" xfId="0" applyAlignment="1" applyBorder="1" applyFill="1" applyFont="1" applyNumberFormat="1">
      <alignment horizontal="center" shrinkToFit="0" vertical="bottom" wrapText="0"/>
    </xf>
    <xf borderId="32" fillId="7" fontId="23" numFmtId="164" xfId="0" applyAlignment="1" applyBorder="1" applyFill="1" applyFont="1" applyNumberFormat="1">
      <alignment shrinkToFit="0" vertical="bottom" wrapText="0"/>
    </xf>
    <xf borderId="32" fillId="7" fontId="23" numFmtId="0" xfId="0" applyAlignment="1" applyBorder="1" applyFill="1" applyFont="1">
      <alignment horizontal="center" shrinkToFit="0" vertical="bottom" wrapText="0"/>
    </xf>
    <xf borderId="1" fillId="3" fontId="5" numFmtId="0" xfId="0" applyAlignment="1" applyBorder="1" applyFill="1" applyFont="1">
      <alignment horizontal="center" shrinkToFit="0" vertical="center" wrapText="0"/>
    </xf>
    <xf borderId="29" fillId="0" fontId="5" numFmtId="0" xfId="0" applyAlignment="1" applyBorder="1" applyFont="1">
      <alignment horizontal="center" shrinkToFit="0" vertical="bottom" wrapText="0"/>
    </xf>
    <xf borderId="1" fillId="7" fontId="23" numFmtId="49" xfId="0" applyAlignment="1" applyBorder="1" applyFill="1" applyFont="1" applyNumberFormat="1">
      <alignment horizontal="center" shrinkToFit="0" vertical="center" wrapText="0"/>
    </xf>
    <xf borderId="1" fillId="7" fontId="23" numFmtId="164" xfId="0" applyAlignment="1" applyBorder="1" applyFill="1" applyFont="1" applyNumberFormat="1">
      <alignment horizontal="center" shrinkToFit="0" vertical="center" wrapText="0"/>
    </xf>
    <xf borderId="1" fillId="0" fontId="18" numFmtId="164" xfId="0" applyAlignment="1" applyBorder="1" applyFont="1" applyNumberFormat="1">
      <alignment horizontal="center" shrinkToFit="0" vertical="bottom" wrapText="0"/>
    </xf>
    <xf borderId="1" fillId="0" fontId="19" numFmtId="164" xfId="0" applyAlignment="1" applyBorder="1" applyFont="1" applyNumberFormat="1">
      <alignment horizontal="center" shrinkToFit="0" vertical="bottom" wrapText="0"/>
    </xf>
    <xf borderId="1" fillId="0" fontId="5" numFmtId="49" xfId="0" applyAlignment="1" applyBorder="1" applyFont="1" applyNumberFormat="1">
      <alignment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1" fillId="4" fontId="5" numFmtId="49" xfId="0" applyAlignment="1" applyBorder="1" applyFill="1" applyFont="1" applyNumberFormat="1">
      <alignment shrinkToFit="0" vertical="bottom" wrapText="0"/>
    </xf>
    <xf borderId="1" fillId="4" fontId="14" numFmtId="164" xfId="0" applyAlignment="1" applyBorder="1" applyFill="1" applyFont="1" applyNumberFormat="1">
      <alignment shrinkToFit="0" vertical="bottom" wrapText="0"/>
    </xf>
    <xf borderId="1" fillId="4" fontId="14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7" fontId="23" numFmtId="49" xfId="0" applyAlignment="1" applyBorder="1" applyFill="1" applyFont="1" applyNumberFormat="1">
      <alignment horizontal="center" shrinkToFit="0" vertical="bottom" wrapText="0"/>
    </xf>
    <xf borderId="1" fillId="7" fontId="23" numFmtId="164" xfId="0" applyAlignment="1" applyBorder="1" applyFill="1" applyFont="1" applyNumberFormat="1">
      <alignment shrinkToFit="0" vertical="bottom" wrapText="0"/>
    </xf>
    <xf borderId="1" fillId="7" fontId="23" numFmtId="0" xfId="0" applyAlignment="1" applyBorder="1" applyFill="1" applyFont="1">
      <alignment horizontal="center" shrinkToFit="0" vertical="bottom" wrapText="0"/>
    </xf>
    <xf borderId="0" fillId="0" fontId="5" numFmtId="49" xfId="0" applyAlignment="1" applyFont="1" applyNumberFormat="1">
      <alignment shrinkToFit="0" vertical="bottom" wrapText="0"/>
    </xf>
    <xf borderId="20" fillId="3" fontId="10" numFmtId="0" xfId="0" applyAlignment="1" applyBorder="1" applyFill="1" applyFont="1">
      <alignment shrinkToFit="0" vertical="center" wrapText="0"/>
    </xf>
    <xf borderId="1" fillId="4" fontId="9" numFmtId="49" xfId="0" applyAlignment="1" applyBorder="1" applyFill="1" applyFont="1" applyNumberFormat="1">
      <alignment horizontal="left" readingOrder="0" shrinkToFit="0" vertical="center" wrapText="0"/>
    </xf>
    <xf borderId="1" fillId="4" fontId="10" numFmtId="49" xfId="0" applyAlignment="1" applyBorder="1" applyFill="1" applyFont="1" applyNumberFormat="1">
      <alignment horizontal="left" readingOrder="0" shrinkToFit="0" vertical="center" wrapText="0"/>
    </xf>
    <xf borderId="1" fillId="4" fontId="13" numFmtId="164" xfId="0" applyAlignment="1" applyBorder="1" applyFill="1" applyFont="1" applyNumberFormat="1">
      <alignment horizontal="right" readingOrder="0" shrinkToFit="0" vertical="center" wrapText="0"/>
    </xf>
    <xf borderId="1" fillId="0" fontId="19" numFmtId="49" xfId="0" applyAlignment="1" applyBorder="1" applyFont="1" applyNumberFormat="1">
      <alignment shrinkToFit="0" vertical="bottom" wrapText="0"/>
    </xf>
    <xf borderId="33" fillId="0" fontId="5" numFmtId="0" xfId="0" applyAlignment="1" applyBorder="1" applyFont="1">
      <alignment shrinkToFit="0" vertical="bottom" wrapText="0"/>
    </xf>
    <xf borderId="1" fillId="0" fontId="18" numFmtId="49" xfId="0" applyAlignment="1" applyBorder="1" applyFont="1" applyNumberFormat="1">
      <alignment shrinkToFit="0" vertical="bottom" wrapText="0"/>
    </xf>
    <xf borderId="1" fillId="4" fontId="5" numFmtId="0" xfId="0" applyAlignment="1" applyBorder="1" applyFill="1" applyFont="1">
      <alignment horizontal="center" shrinkToFit="0" vertical="center" wrapText="0"/>
    </xf>
    <xf borderId="20" fillId="4" fontId="9" numFmtId="0" xfId="0" applyAlignment="1" applyBorder="1" applyFill="1" applyFont="1">
      <alignment horizontal="left" shrinkToFit="0" vertical="center" wrapText="0"/>
    </xf>
    <xf borderId="20" fillId="4" fontId="10" numFmtId="0" xfId="0" applyAlignment="1" applyBorder="1" applyFill="1" applyFont="1">
      <alignment shrinkToFit="0" vertical="center" wrapText="0"/>
    </xf>
    <xf borderId="34" fillId="0" fontId="5" numFmtId="0" xfId="0" applyAlignment="1" applyBorder="1" applyFont="1">
      <alignment shrinkToFit="0" vertical="bottom" wrapText="0"/>
    </xf>
    <xf borderId="35" fillId="0" fontId="5" numFmtId="0" xfId="0" applyAlignment="1" applyBorder="1" applyFont="1">
      <alignment shrinkToFit="0" vertical="bottom" wrapText="0"/>
    </xf>
    <xf borderId="36" fillId="0" fontId="5" numFmtId="0" xfId="0" applyAlignment="1" applyBorder="1" applyFont="1">
      <alignment shrinkToFit="0" vertical="bottom" wrapText="0"/>
    </xf>
    <xf borderId="1" fillId="3" fontId="16" numFmtId="0" xfId="0" applyAlignment="1" applyBorder="1" applyFill="1" applyFont="1">
      <alignment horizontal="right" shrinkToFit="0" vertical="center" wrapText="0"/>
    </xf>
    <xf borderId="1" fillId="3" fontId="13" numFmtId="0" xfId="0" applyAlignment="1" applyBorder="1" applyFill="1" applyFont="1">
      <alignment horizontal="right" shrinkToFit="0" vertical="center" wrapText="0"/>
    </xf>
    <xf borderId="19" fillId="8" fontId="1" numFmtId="49" xfId="0" applyAlignment="1" applyBorder="1" applyFill="1" applyFont="1" applyNumberFormat="1">
      <alignment horizontal="center" shrinkToFit="0" vertical="center" wrapText="0"/>
    </xf>
    <xf borderId="20" fillId="8" fontId="3" numFmtId="0" xfId="0" applyAlignment="1" applyBorder="1" applyFill="1" applyFont="1">
      <alignment horizontal="center" shrinkToFit="0" vertical="center" wrapText="0"/>
    </xf>
    <xf borderId="20" fillId="8" fontId="12" numFmtId="165" xfId="0" applyAlignment="1" applyBorder="1" applyFill="1" applyFont="1" applyNumberFormat="1">
      <alignment shrinkToFit="0" vertical="bottom" wrapText="0"/>
    </xf>
    <xf borderId="20" fillId="8" fontId="24" numFmtId="49" xfId="0" applyAlignment="1" applyBorder="1" applyFill="1" applyFont="1" applyNumberFormat="1">
      <alignment shrinkToFit="0" vertical="bottom" wrapText="0"/>
    </xf>
    <xf borderId="20" fillId="8" fontId="24" numFmtId="49" xfId="0" applyAlignment="1" applyBorder="1" applyFill="1" applyFont="1" applyNumberFormat="1">
      <alignment horizontal="center" shrinkToFit="0" vertical="center" wrapText="0"/>
    </xf>
    <xf borderId="21" fillId="8" fontId="24" numFmtId="49" xfId="0" applyAlignment="1" applyBorder="1" applyFill="1" applyFont="1" applyNumberFormat="1">
      <alignment horizontal="center" shrinkToFit="0" vertical="center" wrapText="0"/>
    </xf>
    <xf borderId="37" fillId="6" fontId="22" numFmtId="0" xfId="0" applyAlignment="1" applyBorder="1" applyFill="1" applyFont="1">
      <alignment horizontal="center" shrinkToFit="0" vertical="center" wrapText="0"/>
    </xf>
    <xf borderId="38" fillId="3" fontId="23" numFmtId="169" xfId="0" applyAlignment="1" applyBorder="1" applyFill="1" applyFont="1" applyNumberFormat="1">
      <alignment horizontal="left" shrinkToFit="0" vertical="center" wrapText="0"/>
    </xf>
    <xf borderId="38" fillId="3" fontId="22" numFmtId="165" xfId="0" applyAlignment="1" applyBorder="1" applyFill="1" applyFont="1" applyNumberFormat="1">
      <alignment horizontal="left" shrinkToFit="0" vertical="center" wrapText="0"/>
    </xf>
    <xf borderId="38" fillId="4" fontId="12" numFmtId="165" xfId="0" applyAlignment="1" applyBorder="1" applyFill="1" applyFont="1" applyNumberFormat="1">
      <alignment shrinkToFit="0" vertical="bottom" wrapText="0"/>
    </xf>
    <xf borderId="38" fillId="7" fontId="25" numFmtId="165" xfId="0" applyAlignment="1" applyBorder="1" applyFill="1" applyFont="1" applyNumberFormat="1">
      <alignment shrinkToFit="0" vertical="bottom" wrapText="0"/>
    </xf>
    <xf borderId="39" fillId="7" fontId="25" numFmtId="165" xfId="0" applyAlignment="1" applyBorder="1" applyFill="1" applyFont="1" applyNumberFormat="1">
      <alignment shrinkToFit="0" vertical="bottom" wrapText="0"/>
    </xf>
    <xf borderId="40" fillId="0" fontId="5" numFmtId="0" xfId="0" applyAlignment="1" applyBorder="1" applyFont="1">
      <alignment shrinkToFit="0" vertical="bottom" wrapText="0"/>
    </xf>
    <xf borderId="41" fillId="0" fontId="5" numFmtId="0" xfId="0" applyAlignment="1" applyBorder="1" applyFont="1">
      <alignment shrinkToFit="0" vertical="bottom" wrapText="0"/>
    </xf>
    <xf borderId="42" fillId="3" fontId="5" numFmtId="169" xfId="0" applyAlignment="1" applyBorder="1" applyFill="1" applyFont="1" applyNumberFormat="1">
      <alignment shrinkToFit="0" vertical="bottom" wrapText="0"/>
    </xf>
    <xf borderId="43" fillId="0" fontId="5" numFmtId="0" xfId="0" applyAlignment="1" applyBorder="1" applyFont="1">
      <alignment shrinkToFit="0" vertical="bottom" wrapText="0"/>
    </xf>
    <xf borderId="44" fillId="3" fontId="5" numFmtId="0" xfId="0" applyAlignment="1" applyBorder="1" applyFill="1" applyFont="1">
      <alignment shrinkToFit="0" vertical="bottom" wrapText="0"/>
    </xf>
    <xf borderId="45" fillId="0" fontId="5" numFmtId="0" xfId="0" applyAlignment="1" applyBorder="1" applyFont="1">
      <alignment shrinkToFit="0" vertical="bottom" wrapText="0"/>
    </xf>
    <xf borderId="46" fillId="0" fontId="5" numFmtId="0" xfId="0" applyAlignment="1" applyBorder="1" applyFont="1">
      <alignment shrinkToFit="0" vertical="bottom" wrapText="0"/>
    </xf>
    <xf borderId="47" fillId="3" fontId="5" numFmtId="169" xfId="0" applyAlignment="1" applyBorder="1" applyFill="1" applyFont="1" applyNumberFormat="1">
      <alignment shrinkToFit="0" vertical="bottom" wrapText="0"/>
    </xf>
    <xf borderId="48" fillId="0" fontId="5" numFmtId="0" xfId="0" applyAlignment="1" applyBorder="1" applyFont="1">
      <alignment shrinkToFit="0" vertical="bottom" wrapText="0"/>
    </xf>
    <xf borderId="12" fillId="3" fontId="10" numFmtId="49" xfId="0" applyAlignment="1" applyBorder="1" applyFill="1" applyFont="1" applyNumberFormat="1">
      <alignment horizontal="left" shrinkToFit="0" vertical="center" wrapText="0"/>
    </xf>
    <xf borderId="12" fillId="3" fontId="12" numFmtId="169" xfId="0" applyAlignment="1" applyBorder="1" applyFill="1" applyFont="1" applyNumberFormat="1">
      <alignment shrinkToFit="0" vertical="bottom" wrapText="0"/>
    </xf>
    <xf borderId="17" fillId="3" fontId="11" numFmtId="169" xfId="0" applyAlignment="1" applyBorder="1" applyFill="1" applyFont="1" applyNumberFormat="1">
      <alignment shrinkToFit="0" vertical="bottom" wrapText="0"/>
    </xf>
    <xf borderId="20" fillId="4" fontId="10" numFmtId="49" xfId="0" applyAlignment="1" applyBorder="1" applyFill="1" applyFont="1" applyNumberFormat="1">
      <alignment horizontal="left" shrinkToFit="0" vertical="center" wrapText="0"/>
    </xf>
    <xf borderId="20" fillId="4" fontId="12" numFmtId="169" xfId="0" applyAlignment="1" applyBorder="1" applyFill="1" applyFont="1" applyNumberFormat="1">
      <alignment shrinkToFit="0" vertical="bottom" wrapText="0"/>
    </xf>
    <xf borderId="21" fillId="4" fontId="11" numFmtId="169" xfId="0" applyAlignment="1" applyBorder="1" applyFill="1" applyFont="1" applyNumberFormat="1">
      <alignment shrinkToFit="0" vertical="bottom" wrapText="0"/>
    </xf>
    <xf borderId="20" fillId="3" fontId="10" numFmtId="49" xfId="0" applyAlignment="1" applyBorder="1" applyFill="1" applyFont="1" applyNumberFormat="1">
      <alignment horizontal="left" shrinkToFit="0" vertical="center" wrapText="0"/>
    </xf>
    <xf borderId="20" fillId="3" fontId="12" numFmtId="169" xfId="0" applyAlignment="1" applyBorder="1" applyFill="1" applyFont="1" applyNumberFormat="1">
      <alignment shrinkToFit="0" vertical="bottom" wrapText="0"/>
    </xf>
    <xf borderId="21" fillId="3" fontId="11" numFmtId="169" xfId="0" applyAlignment="1" applyBorder="1" applyFill="1" applyFont="1" applyNumberFormat="1">
      <alignment shrinkToFit="0" vertical="bottom" wrapText="0"/>
    </xf>
    <xf borderId="20" fillId="8" fontId="3" numFmtId="49" xfId="0" applyAlignment="1" applyBorder="1" applyFill="1" applyFont="1" applyNumberFormat="1">
      <alignment horizontal="center" shrinkToFit="0" vertical="center" wrapText="0"/>
    </xf>
    <xf borderId="20" fillId="8" fontId="12" numFmtId="169" xfId="0" applyAlignment="1" applyBorder="1" applyFill="1" applyFont="1" applyNumberFormat="1">
      <alignment shrinkToFit="0" vertical="bottom" wrapText="0"/>
    </xf>
    <xf borderId="38" fillId="7" fontId="23" numFmtId="169" xfId="0" applyAlignment="1" applyBorder="1" applyFill="1" applyFont="1" applyNumberFormat="1">
      <alignment horizontal="left" shrinkToFit="0" vertical="center" wrapText="0"/>
    </xf>
    <xf borderId="38" fillId="6" fontId="22" numFmtId="165" xfId="0" applyAlignment="1" applyBorder="1" applyFill="1" applyFont="1" applyNumberFormat="1">
      <alignment horizontal="left" shrinkToFit="0" vertical="center" wrapText="0"/>
    </xf>
    <xf borderId="38" fillId="4" fontId="12" numFmtId="169" xfId="0" applyAlignment="1" applyBorder="1" applyFill="1" applyFont="1" applyNumberFormat="1">
      <alignment shrinkToFit="0" vertical="bottom" wrapText="0"/>
    </xf>
    <xf borderId="39" fillId="7" fontId="23" numFmtId="169" xfId="0" applyAlignment="1" applyBorder="1" applyFill="1" applyFont="1" applyNumberFormat="1">
      <alignment shrinkToFit="0" vertical="bottom" wrapText="0"/>
    </xf>
    <xf borderId="49" fillId="0" fontId="5" numFmtId="0" xfId="0" applyAlignment="1" applyBorder="1" applyFont="1">
      <alignment shrinkToFit="0" vertical="bottom" wrapText="0"/>
    </xf>
    <xf borderId="50" fillId="0" fontId="5" numFmtId="0" xfId="0" applyAlignment="1" applyBorder="1" applyFont="1">
      <alignment shrinkToFit="0" vertical="bottom" wrapText="0"/>
    </xf>
    <xf borderId="51" fillId="3" fontId="5" numFmtId="169" xfId="0" applyAlignment="1" applyBorder="1" applyFill="1" applyFont="1" applyNumberFormat="1">
      <alignment shrinkToFit="0" vertical="bottom" wrapText="0"/>
    </xf>
    <xf borderId="1" fillId="4" fontId="15" numFmtId="164" xfId="0" applyAlignment="1" applyBorder="1" applyFill="1" applyFont="1" applyNumberFormat="1">
      <alignment horizontal="right" shrinkToFit="0" vertical="center" wrapText="0"/>
    </xf>
    <xf borderId="1" fillId="4" fontId="16" numFmtId="0" xfId="0" applyAlignment="1" applyBorder="1" applyFill="1" applyFont="1">
      <alignment horizontal="right" shrinkToFit="0" vertical="center" wrapText="0"/>
    </xf>
    <xf borderId="1" fillId="4" fontId="13" numFmtId="0" xfId="0" applyAlignment="1" applyBorder="1" applyFill="1" applyFont="1">
      <alignment horizontal="right" shrinkToFit="0" vertical="center" wrapText="0"/>
    </xf>
    <xf borderId="1" fillId="3" fontId="9" numFmtId="0" xfId="0" applyAlignment="1" applyBorder="1" applyFill="1" applyFont="1">
      <alignment horizontal="left" shrinkToFit="0" vertical="center" wrapText="0"/>
    </xf>
    <xf borderId="1" fillId="3" fontId="10" numFmtId="0" xfId="0" applyAlignment="1" applyBorder="1" applyFill="1" applyFont="1">
      <alignment horizontal="left" shrinkToFit="0" vertical="center" wrapText="0"/>
    </xf>
    <xf borderId="1" fillId="8" fontId="26" numFmtId="0" xfId="0" applyAlignment="1" applyBorder="1" applyFill="1" applyFont="1">
      <alignment horizontal="left" shrinkToFit="0" vertical="center" wrapText="0"/>
    </xf>
    <xf borderId="1" fillId="8" fontId="27" numFmtId="0" xfId="0" applyAlignment="1" applyBorder="1" applyFill="1" applyFont="1">
      <alignment horizontal="right" shrinkToFit="0" vertical="center" wrapText="0"/>
    </xf>
    <xf borderId="1" fillId="8" fontId="28" numFmtId="0" xfId="0" applyAlignment="1" applyBorder="1" applyFill="1" applyFont="1">
      <alignment horizontal="right" shrinkToFit="0" vertical="center" wrapText="0"/>
    </xf>
    <xf borderId="1" fillId="9" fontId="3" numFmtId="49" xfId="0" applyAlignment="1" applyBorder="1" applyFill="1" applyFont="1" applyNumberFormat="1">
      <alignment horizontal="left" shrinkToFit="0" vertical="center" wrapText="1"/>
    </xf>
    <xf borderId="1" fillId="4" fontId="29" numFmtId="49" xfId="0" applyAlignment="1" applyBorder="1" applyFill="1" applyFont="1" applyNumberFormat="1">
      <alignment horizontal="left" shrinkToFit="0" vertical="center" wrapText="1"/>
    </xf>
    <xf borderId="1" fillId="7" fontId="30" numFmtId="49" xfId="0" applyAlignment="1" applyBorder="1" applyFill="1" applyFont="1" applyNumberFormat="1">
      <alignment horizontal="center" shrinkToFit="0" vertical="center" wrapText="1"/>
    </xf>
    <xf borderId="1" fillId="9" fontId="3" numFmtId="49" xfId="0" applyAlignment="1" applyBorder="1" applyFill="1" applyFont="1" applyNumberFormat="1">
      <alignment horizontal="center" shrinkToFit="0" vertical="center" wrapText="1"/>
    </xf>
    <xf borderId="1" fillId="9" fontId="28" numFmtId="49" xfId="0" applyAlignment="1" applyBorder="1" applyFill="1" applyFont="1" applyNumberFormat="1">
      <alignment horizontal="center" shrinkToFit="0" vertical="center" wrapText="1"/>
    </xf>
    <xf borderId="1" fillId="6" fontId="31" numFmtId="49" xfId="0" applyAlignment="1" applyBorder="1" applyFill="1" applyFont="1" applyNumberFormat="1">
      <alignment horizontal="left" shrinkToFit="0" vertical="center" wrapText="1"/>
    </xf>
    <xf borderId="1" fillId="6" fontId="31" numFmtId="49" xfId="0" applyAlignment="1" applyBorder="1" applyFill="1" applyFont="1" applyNumberFormat="1">
      <alignment shrinkToFit="0" vertical="center" wrapText="0"/>
    </xf>
    <xf borderId="1" fillId="7" fontId="30" numFmtId="49" xfId="0" applyAlignment="1" applyBorder="1" applyFill="1" applyFont="1" applyNumberFormat="1">
      <alignment shrinkToFit="0" vertical="center" wrapText="0"/>
    </xf>
    <xf borderId="1" fillId="8" fontId="27" numFmtId="165" xfId="0" applyAlignment="1" applyBorder="1" applyFill="1" applyFont="1" applyNumberFormat="1">
      <alignment horizontal="right" shrinkToFit="0" vertical="center" wrapText="0"/>
    </xf>
    <xf borderId="1" fillId="8" fontId="28" numFmtId="165" xfId="0" applyAlignment="1" applyBorder="1" applyFill="1" applyFont="1" applyNumberFormat="1">
      <alignment horizontal="right" shrinkToFit="0" vertical="center" wrapText="0"/>
    </xf>
    <xf borderId="1" fillId="9" fontId="1" numFmtId="0" xfId="0" applyAlignment="1" applyBorder="1" applyFill="1" applyFont="1">
      <alignment horizontal="center" shrinkToFit="0" vertical="center" wrapText="1"/>
    </xf>
    <xf borderId="1" fillId="4" fontId="32" numFmtId="0" xfId="0" applyAlignment="1" applyBorder="1" applyFill="1" applyFont="1">
      <alignment horizontal="center" shrinkToFit="0" vertical="center" wrapText="0"/>
    </xf>
    <xf borderId="1" fillId="7" fontId="33" numFmtId="164" xfId="0" applyAlignment="1" applyBorder="1" applyFill="1" applyFont="1" applyNumberFormat="1">
      <alignment horizontal="center" shrinkToFit="0" vertical="center" wrapText="0"/>
    </xf>
    <xf borderId="1" fillId="9" fontId="1" numFmtId="164" xfId="0" applyAlignment="1" applyBorder="1" applyFill="1" applyFont="1" applyNumberFormat="1">
      <alignment horizontal="center" shrinkToFit="0" vertical="center" wrapText="0"/>
    </xf>
    <xf borderId="1" fillId="9" fontId="4" numFmtId="9" xfId="0" applyAlignment="1" applyBorder="1" applyFill="1" applyFont="1" applyNumberFormat="1">
      <alignment horizontal="center" shrinkToFit="0" vertical="center" wrapText="0"/>
    </xf>
    <xf borderId="1" fillId="8" fontId="34" numFmtId="164" xfId="0" applyAlignment="1" applyBorder="1" applyFill="1" applyFont="1" applyNumberFormat="1">
      <alignment horizontal="center" shrinkToFit="0" vertical="center" wrapText="0"/>
    </xf>
    <xf borderId="1" fillId="6" fontId="35" numFmtId="164" xfId="0" applyAlignment="1" applyBorder="1" applyFill="1" applyFont="1" applyNumberFormat="1">
      <alignment horizontal="center" shrinkToFit="0" vertical="center" wrapText="0"/>
    </xf>
    <xf borderId="52" fillId="3" fontId="5" numFmtId="0" xfId="0" applyAlignment="1" applyBorder="1" applyFill="1" applyFont="1">
      <alignment shrinkToFit="0" vertical="center" wrapText="0"/>
    </xf>
    <xf borderId="53" fillId="3" fontId="5" numFmtId="0" xfId="0" applyAlignment="1" applyBorder="1" applyFill="1" applyFont="1">
      <alignment shrinkToFit="0" vertical="center" wrapText="0"/>
    </xf>
    <xf borderId="53" fillId="3" fontId="5" numFmtId="165" xfId="0" applyAlignment="1" applyBorder="1" applyFill="1" applyFont="1" applyNumberFormat="1">
      <alignment shrinkToFit="0" vertical="center" wrapText="0"/>
    </xf>
    <xf borderId="53" fillId="3" fontId="5" numFmtId="9" xfId="0" applyAlignment="1" applyBorder="1" applyFill="1" applyFont="1" applyNumberFormat="1">
      <alignment shrinkToFit="0" vertical="center" wrapText="0"/>
    </xf>
    <xf borderId="54" fillId="3" fontId="5" numFmtId="0" xfId="0" applyAlignment="1" applyBorder="1" applyFill="1" applyFont="1">
      <alignment shrinkToFit="0" vertical="center" wrapText="0"/>
    </xf>
    <xf borderId="32" fillId="3" fontId="6" numFmtId="0" xfId="0" applyAlignment="1" applyBorder="1" applyFill="1" applyFont="1">
      <alignment horizontal="center" shrinkToFit="0" vertical="center" wrapText="0"/>
    </xf>
    <xf borderId="1" fillId="3" fontId="11" numFmtId="164" xfId="0" applyAlignment="1" applyBorder="1" applyFill="1" applyFont="1" applyNumberFormat="1">
      <alignment horizontal="center" shrinkToFit="0" vertical="center" wrapText="0"/>
    </xf>
    <xf borderId="1" fillId="3" fontId="6" numFmtId="164" xfId="0" applyAlignment="1" applyBorder="1" applyFill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55" fillId="3" fontId="11" numFmtId="164" xfId="0" applyAlignment="1" applyBorder="1" applyFill="1" applyFont="1" applyNumberFormat="1">
      <alignment horizontal="center" shrinkToFit="0" vertical="center" wrapText="0"/>
    </xf>
    <xf borderId="0" fillId="0" fontId="18" numFmtId="49" xfId="0" applyAlignment="1" applyFont="1" applyNumberForma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55" fillId="3" fontId="6" numFmtId="164" xfId="0" applyAlignment="1" applyBorder="1" applyFill="1" applyFont="1" applyNumberFormat="1">
      <alignment horizontal="center" shrinkToFit="0" vertical="center" wrapText="0"/>
    </xf>
    <xf borderId="56" fillId="3" fontId="6" numFmtId="0" xfId="0" applyAlignment="1" applyBorder="1" applyFill="1" applyFont="1">
      <alignment horizontal="center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1" fillId="4" fontId="6" numFmtId="164" xfId="0" applyAlignment="1" applyBorder="1" applyFill="1" applyFont="1" applyNumberForma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0"/>
    </xf>
    <xf borderId="1" fillId="6" fontId="22" numFmtId="49" xfId="0" applyAlignment="1" applyBorder="1" applyFill="1" applyFont="1" applyNumberFormat="1">
      <alignment horizontal="center" shrinkToFit="0" vertical="bottom" wrapText="0"/>
    </xf>
    <xf borderId="1" fillId="6" fontId="22" numFmtId="0" xfId="0" applyAlignment="1" applyBorder="1" applyFill="1" applyFont="1">
      <alignment horizontal="center" shrinkToFit="0" vertical="bottom" wrapText="0"/>
    </xf>
    <xf borderId="1" fillId="4" fontId="36" numFmtId="49" xfId="0" applyAlignment="1" applyBorder="1" applyFill="1" applyFont="1" applyNumberFormat="1">
      <alignment horizontal="center" shrinkToFit="0" vertical="bottom" wrapText="1"/>
    </xf>
    <xf borderId="1" fillId="7" fontId="37" numFmtId="49" xfId="0" applyAlignment="1" applyBorder="1" applyFill="1" applyFont="1" applyNumberFormat="1">
      <alignment horizontal="right" shrinkToFit="0" vertical="bottom" wrapText="1"/>
    </xf>
    <xf borderId="1" fillId="5" fontId="38" numFmtId="49" xfId="0" applyAlignment="1" applyBorder="1" applyFill="1" applyFont="1" applyNumberFormat="1">
      <alignment horizontal="right" shrinkToFit="0" vertical="bottom" wrapText="1"/>
    </xf>
    <xf borderId="1" fillId="6" fontId="22" numFmtId="165" xfId="0" applyAlignment="1" applyBorder="1" applyFill="1" applyFont="1" applyNumberFormat="1">
      <alignment horizontal="center" shrinkToFit="0" vertical="center" wrapText="0"/>
    </xf>
    <xf borderId="1" fillId="7" fontId="37" numFmtId="165" xfId="0" applyAlignment="1" applyBorder="1" applyFill="1" applyFont="1" applyNumberFormat="1">
      <alignment horizontal="right" shrinkToFit="0" vertical="center" wrapText="0"/>
    </xf>
    <xf borderId="1" fillId="5" fontId="38" numFmtId="165" xfId="0" applyAlignment="1" applyBorder="1" applyFill="1" applyFont="1" applyNumberFormat="1">
      <alignment horizontal="right" shrinkToFit="0" vertical="center" wrapText="0"/>
    </xf>
    <xf borderId="52" fillId="3" fontId="5" numFmtId="0" xfId="0" applyAlignment="1" applyBorder="1" applyFill="1" applyFont="1">
      <alignment shrinkToFit="0" vertical="bottom" wrapText="0"/>
    </xf>
    <xf borderId="53" fillId="3" fontId="5" numFmtId="0" xfId="0" applyAlignment="1" applyBorder="1" applyFill="1" applyFont="1">
      <alignment shrinkToFit="0" vertical="bottom" wrapText="0"/>
    </xf>
    <xf borderId="53" fillId="3" fontId="5" numFmtId="165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707070"/>
      </a:accent5>
      <a:accent6>
        <a:srgbClr val="8A8A8A"/>
      </a:accent6>
      <a:hlink>
        <a:srgbClr val="0000FF"/>
      </a:hlink>
      <a:folHlink>
        <a:srgbClr val="0000FF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63"/>
    <col customWidth="1" min="2" max="2" width="25.38"/>
    <col customWidth="1" min="3" max="3" width="16.38"/>
    <col customWidth="1" min="4" max="4" width="11.63"/>
    <col customWidth="1" min="5" max="5" width="13.38"/>
    <col customWidth="1" min="6" max="6" width="12.38"/>
    <col customWidth="1" min="7" max="7" width="14.0"/>
    <col customWidth="1" min="8" max="8" width="13.5"/>
    <col customWidth="1" min="9" max="9" width="13.63"/>
    <col customWidth="1" min="10" max="10" width="10.38"/>
    <col customWidth="1" min="11" max="26" width="10.0"/>
  </cols>
  <sheetData>
    <row r="1" ht="24.0" customHeight="1">
      <c r="A1" s="2" t="s">
        <v>1</v>
      </c>
      <c r="B1" s="5" t="s">
        <v>7</v>
      </c>
      <c r="C1" s="5" t="s">
        <v>10</v>
      </c>
      <c r="D1" s="5" t="s">
        <v>13</v>
      </c>
      <c r="E1" s="5" t="s">
        <v>15</v>
      </c>
      <c r="F1" s="5" t="s">
        <v>18</v>
      </c>
      <c r="G1" s="5" t="s">
        <v>20</v>
      </c>
      <c r="H1" s="5" t="s">
        <v>22</v>
      </c>
      <c r="I1" s="9" t="s">
        <v>25</v>
      </c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customHeight="1">
      <c r="A2" s="17">
        <v>0.0</v>
      </c>
      <c r="B2" s="20"/>
      <c r="C2" s="23"/>
      <c r="D2" s="26">
        <v>0.0</v>
      </c>
      <c r="E2" s="26">
        <v>0.0</v>
      </c>
      <c r="F2" s="29">
        <v>0.0</v>
      </c>
      <c r="G2" s="48">
        <f t="array" ref="G2">A2*D2</f>
        <v>0</v>
      </c>
      <c r="H2" s="48">
        <f t="array" ref="H2">A2*E2</f>
        <v>0</v>
      </c>
      <c r="I2" s="57">
        <f t="array" ref="I2">A2*F2</f>
        <v>0</v>
      </c>
      <c r="J2" s="60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61">
        <v>0.0</v>
      </c>
      <c r="B3" s="63"/>
      <c r="C3" s="64"/>
      <c r="D3" s="65">
        <v>0.0</v>
      </c>
      <c r="E3" s="65">
        <v>0.0</v>
      </c>
      <c r="F3" s="65">
        <v>0.0</v>
      </c>
      <c r="G3" s="68">
        <f t="array" ref="G3">A3*D3</f>
        <v>0</v>
      </c>
      <c r="H3" s="68">
        <f t="array" ref="H3">A3*E3</f>
        <v>0</v>
      </c>
      <c r="I3" s="71">
        <f t="array" ref="I3">A3*F3</f>
        <v>0</v>
      </c>
      <c r="J3" s="60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73">
        <v>0.0</v>
      </c>
      <c r="B4" s="74"/>
      <c r="C4" s="77"/>
      <c r="D4" s="79">
        <v>0.0</v>
      </c>
      <c r="E4" s="79">
        <v>0.0</v>
      </c>
      <c r="F4" s="80">
        <v>0.0</v>
      </c>
      <c r="G4" s="87">
        <f t="array" ref="G4">A4*D4</f>
        <v>0</v>
      </c>
      <c r="H4" s="87">
        <f t="array" ref="H4">A4*E4</f>
        <v>0</v>
      </c>
      <c r="I4" s="93">
        <f t="array" ref="I4">A4*F4</f>
        <v>0</v>
      </c>
      <c r="J4" s="60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61">
        <v>0.0</v>
      </c>
      <c r="B5" s="63"/>
      <c r="C5" s="64"/>
      <c r="D5" s="65">
        <v>0.0</v>
      </c>
      <c r="E5" s="65">
        <v>0.0</v>
      </c>
      <c r="F5" s="65">
        <v>0.0</v>
      </c>
      <c r="G5" s="68">
        <f t="array" ref="G5">A5*D5</f>
        <v>0</v>
      </c>
      <c r="H5" s="68">
        <f t="array" ref="H5">A5*E5</f>
        <v>0</v>
      </c>
      <c r="I5" s="71">
        <f t="array" ref="I5">A5*F5</f>
        <v>0</v>
      </c>
      <c r="J5" s="60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73">
        <v>0.0</v>
      </c>
      <c r="B6" s="74"/>
      <c r="C6" s="77"/>
      <c r="D6" s="79">
        <v>0.0</v>
      </c>
      <c r="E6" s="79">
        <v>0.0</v>
      </c>
      <c r="F6" s="80">
        <v>0.0</v>
      </c>
      <c r="G6" s="87">
        <f t="array" ref="G6">A6*D6</f>
        <v>0</v>
      </c>
      <c r="H6" s="87">
        <f t="array" ref="H6">A6*E6</f>
        <v>0</v>
      </c>
      <c r="I6" s="93">
        <f t="array" ref="I6">A6*F6</f>
        <v>0</v>
      </c>
      <c r="J6" s="60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61">
        <v>0.0</v>
      </c>
      <c r="B7" s="63"/>
      <c r="C7" s="64"/>
      <c r="D7" s="65">
        <v>0.0</v>
      </c>
      <c r="E7" s="65">
        <v>0.0</v>
      </c>
      <c r="F7" s="65">
        <v>0.0</v>
      </c>
      <c r="G7" s="68">
        <f t="array" ref="G7">A7*D7</f>
        <v>0</v>
      </c>
      <c r="H7" s="68">
        <f t="array" ref="H7">A7*E7</f>
        <v>0</v>
      </c>
      <c r="I7" s="71">
        <f t="array" ref="I7">A7*F7</f>
        <v>0</v>
      </c>
      <c r="J7" s="60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73">
        <v>0.0</v>
      </c>
      <c r="B8" s="74"/>
      <c r="C8" s="77"/>
      <c r="D8" s="79">
        <v>0.0</v>
      </c>
      <c r="E8" s="79">
        <v>0.0</v>
      </c>
      <c r="F8" s="80">
        <v>0.0</v>
      </c>
      <c r="G8" s="87">
        <f t="array" ref="G8">A8*D8</f>
        <v>0</v>
      </c>
      <c r="H8" s="87">
        <f t="array" ref="H8">A8*E8</f>
        <v>0</v>
      </c>
      <c r="I8" s="93">
        <f t="array" ref="I8">A8*F8</f>
        <v>0</v>
      </c>
      <c r="J8" s="60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61">
        <v>0.0</v>
      </c>
      <c r="B9" s="63"/>
      <c r="C9" s="64"/>
      <c r="D9" s="65">
        <v>0.0</v>
      </c>
      <c r="E9" s="65">
        <v>0.0</v>
      </c>
      <c r="F9" s="65">
        <v>0.0</v>
      </c>
      <c r="G9" s="68">
        <f t="array" ref="G9">A9*D9</f>
        <v>0</v>
      </c>
      <c r="H9" s="68">
        <f t="array" ref="H9">A9*E9</f>
        <v>0</v>
      </c>
      <c r="I9" s="71">
        <f t="array" ref="I9">A9*F9</f>
        <v>0</v>
      </c>
      <c r="J9" s="60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73">
        <v>0.0</v>
      </c>
      <c r="B10" s="74"/>
      <c r="C10" s="77"/>
      <c r="D10" s="79">
        <v>0.0</v>
      </c>
      <c r="E10" s="79">
        <v>0.0</v>
      </c>
      <c r="F10" s="80">
        <v>0.0</v>
      </c>
      <c r="G10" s="87">
        <f t="array" ref="G10">A10*D10</f>
        <v>0</v>
      </c>
      <c r="H10" s="87">
        <f t="array" ref="H10">A10*E10</f>
        <v>0</v>
      </c>
      <c r="I10" s="93">
        <f t="array" ref="I10">A10*F10</f>
        <v>0</v>
      </c>
      <c r="J10" s="60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73"/>
      <c r="B11" s="138"/>
      <c r="C11" s="140"/>
      <c r="D11" s="79"/>
      <c r="E11" s="79"/>
      <c r="F11" s="80"/>
      <c r="G11" s="87"/>
      <c r="H11" s="87"/>
      <c r="I11" s="93"/>
      <c r="J11" s="60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61">
        <v>0.0</v>
      </c>
      <c r="B12" s="63"/>
      <c r="C12" s="64"/>
      <c r="D12" s="65">
        <v>0.0</v>
      </c>
      <c r="E12" s="65">
        <v>0.0</v>
      </c>
      <c r="F12" s="65">
        <v>0.0</v>
      </c>
      <c r="G12" s="68">
        <f t="array" ref="G12">A12*D12</f>
        <v>0</v>
      </c>
      <c r="H12" s="68">
        <f t="array" ref="H12">A12*E12</f>
        <v>0</v>
      </c>
      <c r="I12" s="71">
        <f t="array" ref="I12">A12*F12</f>
        <v>0</v>
      </c>
      <c r="J12" s="60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73">
        <v>0.0</v>
      </c>
      <c r="B13" s="74"/>
      <c r="C13" s="77"/>
      <c r="D13" s="79">
        <v>0.0</v>
      </c>
      <c r="E13" s="79">
        <v>0.0</v>
      </c>
      <c r="F13" s="80">
        <v>0.0</v>
      </c>
      <c r="G13" s="87">
        <f t="array" ref="G13">A13*D13</f>
        <v>0</v>
      </c>
      <c r="H13" s="87">
        <f t="array" ref="H13">A13*E13</f>
        <v>0</v>
      </c>
      <c r="I13" s="93">
        <f t="array" ref="I13">A13*F13</f>
        <v>0</v>
      </c>
      <c r="J13" s="60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61">
        <v>0.0</v>
      </c>
      <c r="B14" s="63"/>
      <c r="C14" s="64"/>
      <c r="D14" s="65">
        <v>0.0</v>
      </c>
      <c r="E14" s="65">
        <v>0.0</v>
      </c>
      <c r="F14" s="65">
        <v>0.0</v>
      </c>
      <c r="G14" s="68">
        <f t="array" ref="G14">A14*D14</f>
        <v>0</v>
      </c>
      <c r="H14" s="68">
        <f t="array" ref="H14">A14*E14</f>
        <v>0</v>
      </c>
      <c r="I14" s="71">
        <f t="array" ref="I14">A14*F14</f>
        <v>0</v>
      </c>
      <c r="J14" s="60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73">
        <v>0.0</v>
      </c>
      <c r="B15" s="74"/>
      <c r="C15" s="77"/>
      <c r="D15" s="79">
        <v>0.0</v>
      </c>
      <c r="E15" s="79">
        <v>0.0</v>
      </c>
      <c r="F15" s="80">
        <v>0.0</v>
      </c>
      <c r="G15" s="87">
        <f t="array" ref="G15">A15*D15</f>
        <v>0</v>
      </c>
      <c r="H15" s="87">
        <f t="array" ref="H15">A15*E15</f>
        <v>0</v>
      </c>
      <c r="I15" s="93">
        <f t="array" ref="I15">A15*F15</f>
        <v>0</v>
      </c>
      <c r="J15" s="6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61">
        <v>0.0</v>
      </c>
      <c r="B16" s="63"/>
      <c r="C16" s="64"/>
      <c r="D16" s="65">
        <v>0.0</v>
      </c>
      <c r="E16" s="65">
        <v>0.0</v>
      </c>
      <c r="F16" s="65">
        <v>0.0</v>
      </c>
      <c r="G16" s="68">
        <f t="array" ref="G16">A16*D16</f>
        <v>0</v>
      </c>
      <c r="H16" s="68">
        <f t="array" ref="H16">A16*E16</f>
        <v>0</v>
      </c>
      <c r="I16" s="71">
        <f t="array" ref="I16">A16*F16</f>
        <v>0</v>
      </c>
      <c r="J16" s="60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73">
        <v>0.0</v>
      </c>
      <c r="B17" s="74"/>
      <c r="C17" s="77"/>
      <c r="D17" s="79">
        <v>0.0</v>
      </c>
      <c r="E17" s="79">
        <v>0.0</v>
      </c>
      <c r="F17" s="80">
        <v>0.0</v>
      </c>
      <c r="G17" s="87">
        <f t="array" ref="G17">A17*D17</f>
        <v>0</v>
      </c>
      <c r="H17" s="87">
        <f t="array" ref="H17">A17*E17</f>
        <v>0</v>
      </c>
      <c r="I17" s="93">
        <f t="array" ref="I17">A17*F17</f>
        <v>0</v>
      </c>
      <c r="J17" s="60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61">
        <v>0.0</v>
      </c>
      <c r="B18" s="63"/>
      <c r="C18" s="64"/>
      <c r="D18" s="65">
        <v>0.0</v>
      </c>
      <c r="E18" s="65">
        <v>0.0</v>
      </c>
      <c r="F18" s="65">
        <v>0.0</v>
      </c>
      <c r="G18" s="68">
        <f t="array" ref="G18">A18*D18</f>
        <v>0</v>
      </c>
      <c r="H18" s="68">
        <f t="array" ref="H18">A18*E18</f>
        <v>0</v>
      </c>
      <c r="I18" s="71">
        <f t="array" ref="I18">A18*F18</f>
        <v>0</v>
      </c>
      <c r="J18" s="60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73">
        <v>0.0</v>
      </c>
      <c r="B19" s="74"/>
      <c r="C19" s="77"/>
      <c r="D19" s="79">
        <v>0.0</v>
      </c>
      <c r="E19" s="79">
        <v>0.0</v>
      </c>
      <c r="F19" s="80">
        <v>0.0</v>
      </c>
      <c r="G19" s="87">
        <f t="array" ref="G19">A19*D19</f>
        <v>0</v>
      </c>
      <c r="H19" s="87">
        <f t="array" ref="H19">A19*E19</f>
        <v>0</v>
      </c>
      <c r="I19" s="93">
        <f t="array" ref="I19">A19*F19</f>
        <v>0</v>
      </c>
      <c r="J19" s="60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61">
        <v>0.0</v>
      </c>
      <c r="B20" s="63"/>
      <c r="C20" s="64"/>
      <c r="D20" s="65">
        <v>0.0</v>
      </c>
      <c r="E20" s="65">
        <v>0.0</v>
      </c>
      <c r="F20" s="65">
        <v>0.0</v>
      </c>
      <c r="G20" s="68">
        <f t="array" ref="G20">A20*D20</f>
        <v>0</v>
      </c>
      <c r="H20" s="68">
        <f t="array" ref="H20">A20*E20</f>
        <v>0</v>
      </c>
      <c r="I20" s="71">
        <f t="array" ref="I20">A20*F20</f>
        <v>0</v>
      </c>
      <c r="J20" s="60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73">
        <v>0.0</v>
      </c>
      <c r="B21" s="74"/>
      <c r="C21" s="77"/>
      <c r="D21" s="79">
        <v>0.0</v>
      </c>
      <c r="E21" s="79">
        <v>0.0</v>
      </c>
      <c r="F21" s="80">
        <v>0.0</v>
      </c>
      <c r="G21" s="87">
        <f t="array" ref="G21">A21*D21</f>
        <v>0</v>
      </c>
      <c r="H21" s="87">
        <f t="array" ref="H21">A21*E21</f>
        <v>0</v>
      </c>
      <c r="I21" s="93">
        <f t="array" ref="I21">A21*F21</f>
        <v>0</v>
      </c>
      <c r="J21" s="60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61">
        <v>0.0</v>
      </c>
      <c r="B22" s="63"/>
      <c r="C22" s="64"/>
      <c r="D22" s="65">
        <v>0.0</v>
      </c>
      <c r="E22" s="65">
        <v>0.0</v>
      </c>
      <c r="F22" s="65">
        <v>0.0</v>
      </c>
      <c r="G22" s="68">
        <f t="array" ref="G22">A22*D22</f>
        <v>0</v>
      </c>
      <c r="H22" s="68">
        <f t="array" ref="H22">A22*E22</f>
        <v>0</v>
      </c>
      <c r="I22" s="71">
        <f t="array" ref="I22">A22*F22</f>
        <v>0</v>
      </c>
      <c r="J22" s="60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73">
        <v>0.0</v>
      </c>
      <c r="B23" s="74"/>
      <c r="C23" s="77"/>
      <c r="D23" s="79">
        <v>0.0</v>
      </c>
      <c r="E23" s="79">
        <v>0.0</v>
      </c>
      <c r="F23" s="80">
        <v>0.0</v>
      </c>
      <c r="G23" s="87">
        <f t="array" ref="G23">A23*D23</f>
        <v>0</v>
      </c>
      <c r="H23" s="87">
        <f t="array" ref="H23">A23*E23</f>
        <v>0</v>
      </c>
      <c r="I23" s="93">
        <f t="array" ref="I23">A23*F23</f>
        <v>0</v>
      </c>
      <c r="J23" s="60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61">
        <v>0.0</v>
      </c>
      <c r="B24" s="63"/>
      <c r="C24" s="64"/>
      <c r="D24" s="65">
        <v>0.0</v>
      </c>
      <c r="E24" s="65">
        <v>0.0</v>
      </c>
      <c r="F24" s="65">
        <v>0.0</v>
      </c>
      <c r="G24" s="68">
        <f t="array" ref="G24">A24*D24</f>
        <v>0</v>
      </c>
      <c r="H24" s="68">
        <f t="array" ref="H24">A24*E24</f>
        <v>0</v>
      </c>
      <c r="I24" s="71">
        <f t="array" ref="I24">A24*F24</f>
        <v>0</v>
      </c>
      <c r="J24" s="6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73"/>
      <c r="B25" s="138"/>
      <c r="C25" s="169"/>
      <c r="D25" s="79"/>
      <c r="E25" s="79"/>
      <c r="F25" s="80"/>
      <c r="G25" s="87"/>
      <c r="H25" s="87"/>
      <c r="I25" s="93"/>
      <c r="J25" s="60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61">
        <v>0.0</v>
      </c>
      <c r="B26" s="63"/>
      <c r="C26" s="64"/>
      <c r="D26" s="65">
        <v>0.0</v>
      </c>
      <c r="E26" s="65">
        <v>0.0</v>
      </c>
      <c r="F26" s="65">
        <v>0.0</v>
      </c>
      <c r="G26" s="68">
        <f t="array" ref="G26">A26*D26</f>
        <v>0</v>
      </c>
      <c r="H26" s="68">
        <f t="array" ref="H26">A26*E26</f>
        <v>0</v>
      </c>
      <c r="I26" s="71">
        <f t="array" ref="I26">A26*F26</f>
        <v>0</v>
      </c>
      <c r="J26" s="60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73">
        <v>0.0</v>
      </c>
      <c r="B27" s="74"/>
      <c r="C27" s="77"/>
      <c r="D27" s="79">
        <v>0.0</v>
      </c>
      <c r="E27" s="79">
        <v>0.0</v>
      </c>
      <c r="F27" s="80">
        <v>0.0</v>
      </c>
      <c r="G27" s="87">
        <f t="array" ref="G27">A27*D27</f>
        <v>0</v>
      </c>
      <c r="H27" s="87">
        <f t="array" ref="H27">A27*E27</f>
        <v>0</v>
      </c>
      <c r="I27" s="93">
        <f t="array" ref="I27">A27*F27</f>
        <v>0</v>
      </c>
      <c r="J27" s="60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61"/>
      <c r="B28" s="177"/>
      <c r="C28" s="178"/>
      <c r="D28" s="65"/>
      <c r="E28" s="65"/>
      <c r="F28" s="65"/>
      <c r="G28" s="68"/>
      <c r="H28" s="68"/>
      <c r="I28" s="71"/>
      <c r="J28" s="60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73">
        <v>0.0</v>
      </c>
      <c r="B29" s="74"/>
      <c r="C29" s="77"/>
      <c r="D29" s="79">
        <v>0.0</v>
      </c>
      <c r="E29" s="79">
        <v>0.0</v>
      </c>
      <c r="F29" s="80">
        <v>0.0</v>
      </c>
      <c r="G29" s="87">
        <f t="array" ref="G29">A29*D29</f>
        <v>0</v>
      </c>
      <c r="H29" s="87">
        <f t="array" ref="H29">A29*E29</f>
        <v>0</v>
      </c>
      <c r="I29" s="93">
        <f t="array" ref="I29">A29*F29</f>
        <v>0</v>
      </c>
      <c r="J29" s="60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61">
        <v>0.0</v>
      </c>
      <c r="B30" s="63"/>
      <c r="C30" s="64"/>
      <c r="D30" s="65">
        <v>0.0</v>
      </c>
      <c r="E30" s="65">
        <v>0.0</v>
      </c>
      <c r="F30" s="65">
        <v>0.0</v>
      </c>
      <c r="G30" s="68">
        <f t="array" ref="G30">A30*D30</f>
        <v>0</v>
      </c>
      <c r="H30" s="68">
        <f t="array" ref="H30">A30*E30</f>
        <v>0</v>
      </c>
      <c r="I30" s="71">
        <f t="array" ref="I30">A30*F30</f>
        <v>0</v>
      </c>
      <c r="J30" s="60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73"/>
      <c r="B31" s="138"/>
      <c r="C31" s="169"/>
      <c r="D31" s="79"/>
      <c r="E31" s="79"/>
      <c r="F31" s="80"/>
      <c r="G31" s="87"/>
      <c r="H31" s="87"/>
      <c r="I31" s="93"/>
      <c r="J31" s="60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61">
        <v>0.0</v>
      </c>
      <c r="B32" s="63"/>
      <c r="C32" s="64"/>
      <c r="D32" s="65">
        <v>0.0</v>
      </c>
      <c r="E32" s="65">
        <v>0.0</v>
      </c>
      <c r="F32" s="65">
        <v>0.0</v>
      </c>
      <c r="G32" s="68">
        <f t="array" ref="G32">A32*D32</f>
        <v>0</v>
      </c>
      <c r="H32" s="68">
        <f t="array" ref="H32">A32*E32</f>
        <v>0</v>
      </c>
      <c r="I32" s="71">
        <f t="array" ref="I32">A32*F32</f>
        <v>0</v>
      </c>
      <c r="J32" s="60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73">
        <v>0.0</v>
      </c>
      <c r="B33" s="74"/>
      <c r="C33" s="77"/>
      <c r="D33" s="79">
        <v>0.0</v>
      </c>
      <c r="E33" s="79">
        <v>0.0</v>
      </c>
      <c r="F33" s="80">
        <v>0.0</v>
      </c>
      <c r="G33" s="87">
        <f t="array" ref="G33">A33*D33</f>
        <v>0</v>
      </c>
      <c r="H33" s="87">
        <f t="array" ref="H33">A33*E33</f>
        <v>0</v>
      </c>
      <c r="I33" s="93">
        <f t="array" ref="I33">A33*F33</f>
        <v>0</v>
      </c>
      <c r="J33" s="60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61"/>
      <c r="B34" s="177"/>
      <c r="C34" s="178"/>
      <c r="D34" s="65"/>
      <c r="E34" s="65"/>
      <c r="F34" s="65"/>
      <c r="G34" s="68"/>
      <c r="H34" s="68"/>
      <c r="I34" s="71"/>
      <c r="J34" s="60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73">
        <v>0.0</v>
      </c>
      <c r="B35" s="74"/>
      <c r="C35" s="77"/>
      <c r="D35" s="79">
        <v>0.0</v>
      </c>
      <c r="E35" s="79">
        <v>0.0</v>
      </c>
      <c r="F35" s="80">
        <v>0.0</v>
      </c>
      <c r="G35" s="87">
        <f t="array" ref="G35">A35*D35</f>
        <v>0</v>
      </c>
      <c r="H35" s="87">
        <f t="array" ref="H35">A35*E35</f>
        <v>0</v>
      </c>
      <c r="I35" s="93">
        <f t="array" ref="I35">A35*F35</f>
        <v>0</v>
      </c>
      <c r="J35" s="60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61">
        <v>0.0</v>
      </c>
      <c r="B36" s="63"/>
      <c r="C36" s="64"/>
      <c r="D36" s="65">
        <v>0.0</v>
      </c>
      <c r="E36" s="65">
        <v>0.0</v>
      </c>
      <c r="F36" s="65">
        <v>0.0</v>
      </c>
      <c r="G36" s="68">
        <f t="array" ref="G36">A36*D36</f>
        <v>0</v>
      </c>
      <c r="H36" s="68">
        <f t="array" ref="H36">A36*E36</f>
        <v>0</v>
      </c>
      <c r="I36" s="71">
        <f t="array" ref="I36">A36*F36</f>
        <v>0</v>
      </c>
      <c r="J36" s="60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73"/>
      <c r="B37" s="138"/>
      <c r="C37" s="169"/>
      <c r="D37" s="79"/>
      <c r="E37" s="79"/>
      <c r="F37" s="80"/>
      <c r="G37" s="87"/>
      <c r="H37" s="87"/>
      <c r="I37" s="93"/>
      <c r="J37" s="60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61">
        <v>0.0</v>
      </c>
      <c r="B38" s="63"/>
      <c r="C38" s="64"/>
      <c r="D38" s="65">
        <v>0.0</v>
      </c>
      <c r="E38" s="65">
        <v>0.0</v>
      </c>
      <c r="F38" s="65">
        <v>0.0</v>
      </c>
      <c r="G38" s="68">
        <f t="array" ref="G38">A38*D38</f>
        <v>0</v>
      </c>
      <c r="H38" s="68">
        <f t="array" ref="H38">A38*E38</f>
        <v>0</v>
      </c>
      <c r="I38" s="71">
        <f t="array" ref="I38">A38*F38</f>
        <v>0</v>
      </c>
      <c r="J38" s="60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184" t="s">
        <v>142</v>
      </c>
      <c r="B39" s="185"/>
      <c r="C39" s="185"/>
      <c r="D39" s="186"/>
      <c r="E39" s="186"/>
      <c r="F39" s="186"/>
      <c r="G39" s="187" t="s">
        <v>125</v>
      </c>
      <c r="H39" s="188" t="s">
        <v>125</v>
      </c>
      <c r="I39" s="189" t="s">
        <v>125</v>
      </c>
      <c r="J39" s="60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190">
        <f t="array" ref="A40">SUM(A2:A38)</f>
        <v>0</v>
      </c>
      <c r="B40" s="191"/>
      <c r="C40" s="192"/>
      <c r="D40" s="193"/>
      <c r="E40" s="193"/>
      <c r="F40" s="193"/>
      <c r="G40" s="194">
        <f t="array" ref="G40">SUM(G2:G38)</f>
        <v>0</v>
      </c>
      <c r="H40" s="194">
        <f t="array" ref="H40">SUM(H2:H38)</f>
        <v>0</v>
      </c>
      <c r="I40" s="195">
        <f t="array" ref="I40">SUM(I2:I38)</f>
        <v>0</v>
      </c>
      <c r="J40" s="60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196"/>
      <c r="B41" s="197"/>
      <c r="C41" s="197"/>
      <c r="D41" s="198"/>
      <c r="E41" s="198"/>
      <c r="F41" s="197"/>
      <c r="G41" s="197"/>
      <c r="H41" s="197"/>
      <c r="I41" s="197"/>
      <c r="J41" s="30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199"/>
      <c r="B42" s="12"/>
      <c r="C42" s="12"/>
      <c r="D42" s="200"/>
      <c r="E42" s="200"/>
      <c r="F42" s="12"/>
      <c r="G42" s="12"/>
      <c r="H42" s="12"/>
      <c r="I42" s="12"/>
      <c r="J42" s="30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199"/>
      <c r="B43" s="12"/>
      <c r="C43" s="12"/>
      <c r="D43" s="200"/>
      <c r="E43" s="200"/>
      <c r="F43" s="12"/>
      <c r="G43" s="12"/>
      <c r="H43" s="12"/>
      <c r="I43" s="12"/>
      <c r="J43" s="30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199"/>
      <c r="B44" s="12"/>
      <c r="C44" s="12"/>
      <c r="D44" s="200"/>
      <c r="E44" s="200"/>
      <c r="F44" s="12"/>
      <c r="G44" s="12"/>
      <c r="H44" s="12"/>
      <c r="I44" s="12"/>
      <c r="J44" s="30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199"/>
      <c r="B45" s="12"/>
      <c r="C45" s="12"/>
      <c r="D45" s="200"/>
      <c r="E45" s="200"/>
      <c r="F45" s="12"/>
      <c r="G45" s="12"/>
      <c r="H45" s="12"/>
      <c r="I45" s="12"/>
      <c r="J45" s="30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199"/>
      <c r="B46" s="12"/>
      <c r="C46" s="12"/>
      <c r="D46" s="200"/>
      <c r="E46" s="200"/>
      <c r="F46" s="12"/>
      <c r="G46" s="12"/>
      <c r="H46" s="12"/>
      <c r="I46" s="12"/>
      <c r="J46" s="3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199"/>
      <c r="B47" s="12"/>
      <c r="C47" s="12"/>
      <c r="D47" s="200"/>
      <c r="E47" s="200"/>
      <c r="F47" s="12"/>
      <c r="G47" s="12"/>
      <c r="H47" s="12"/>
      <c r="I47" s="12"/>
      <c r="J47" s="30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201"/>
      <c r="B48" s="202"/>
      <c r="C48" s="202"/>
      <c r="D48" s="203"/>
      <c r="E48" s="203"/>
      <c r="F48" s="12"/>
      <c r="G48" s="12"/>
      <c r="H48" s="12"/>
      <c r="I48" s="12"/>
      <c r="J48" s="30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2" t="s">
        <v>1</v>
      </c>
      <c r="B49" s="5" t="s">
        <v>7</v>
      </c>
      <c r="C49" s="5" t="s">
        <v>10</v>
      </c>
      <c r="D49" s="5" t="s">
        <v>145</v>
      </c>
      <c r="E49" s="9" t="s">
        <v>142</v>
      </c>
      <c r="F49" s="204"/>
      <c r="G49" s="12"/>
      <c r="H49" s="12"/>
      <c r="I49" s="12"/>
      <c r="J49" s="30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17">
        <v>0.0</v>
      </c>
      <c r="B50" s="20"/>
      <c r="C50" s="205"/>
      <c r="D50" s="206">
        <v>26.0</v>
      </c>
      <c r="E50" s="207">
        <f t="array" ref="E50">A50*D50</f>
        <v>0</v>
      </c>
      <c r="F50" s="204"/>
      <c r="G50" s="12"/>
      <c r="H50" s="12"/>
      <c r="I50" s="12"/>
      <c r="J50" s="3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61">
        <v>0.0</v>
      </c>
      <c r="B51" s="63"/>
      <c r="C51" s="208"/>
      <c r="D51" s="209">
        <v>28.0</v>
      </c>
      <c r="E51" s="210">
        <f t="array" ref="E51">A51*D51</f>
        <v>0</v>
      </c>
      <c r="F51" s="204"/>
      <c r="G51" s="12"/>
      <c r="H51" s="12"/>
      <c r="I51" s="12"/>
      <c r="J51" s="30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73">
        <v>0.0</v>
      </c>
      <c r="B52" s="74"/>
      <c r="C52" s="211"/>
      <c r="D52" s="212">
        <v>10.0</v>
      </c>
      <c r="E52" s="213">
        <f t="array" ref="E52">A52*D52</f>
        <v>0</v>
      </c>
      <c r="F52" s="204"/>
      <c r="G52" s="12"/>
      <c r="H52" s="12"/>
      <c r="I52" s="12"/>
      <c r="J52" s="30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61">
        <v>0.0</v>
      </c>
      <c r="B53" s="63"/>
      <c r="C53" s="208"/>
      <c r="D53" s="209">
        <v>15.0</v>
      </c>
      <c r="E53" s="210">
        <f t="array" ref="E53">A53*D53</f>
        <v>0</v>
      </c>
      <c r="F53" s="204"/>
      <c r="G53" s="12"/>
      <c r="H53" s="12"/>
      <c r="I53" s="12"/>
      <c r="J53" s="30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73">
        <v>0.0</v>
      </c>
      <c r="B54" s="74"/>
      <c r="C54" s="211"/>
      <c r="D54" s="212">
        <v>10.0</v>
      </c>
      <c r="E54" s="213">
        <f t="array" ref="E54">A54*D54</f>
        <v>0</v>
      </c>
      <c r="F54" s="204"/>
      <c r="G54" s="12"/>
      <c r="H54" s="12"/>
      <c r="I54" s="12"/>
      <c r="J54" s="30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61">
        <v>0.0</v>
      </c>
      <c r="B55" s="63"/>
      <c r="C55" s="208"/>
      <c r="D55" s="209">
        <v>8.0</v>
      </c>
      <c r="E55" s="210">
        <f t="array" ref="E55">A55*D55</f>
        <v>0</v>
      </c>
      <c r="F55" s="204"/>
      <c r="G55" s="12"/>
      <c r="H55" s="12"/>
      <c r="I55" s="12"/>
      <c r="J55" s="30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73">
        <v>0.0</v>
      </c>
      <c r="B56" s="74"/>
      <c r="C56" s="211"/>
      <c r="D56" s="212">
        <v>9.0</v>
      </c>
      <c r="E56" s="213">
        <f t="array" ref="E56">A56*D56</f>
        <v>0</v>
      </c>
      <c r="F56" s="204"/>
      <c r="G56" s="12"/>
      <c r="H56" s="12"/>
      <c r="I56" s="12"/>
      <c r="J56" s="30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61">
        <v>0.0</v>
      </c>
      <c r="B57" s="63"/>
      <c r="C57" s="208"/>
      <c r="D57" s="209">
        <v>12.0</v>
      </c>
      <c r="E57" s="210">
        <f t="array" ref="E57">A57*D57</f>
        <v>0</v>
      </c>
      <c r="F57" s="204"/>
      <c r="G57" s="12"/>
      <c r="H57" s="12"/>
      <c r="I57" s="12"/>
      <c r="J57" s="30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73">
        <v>0.0</v>
      </c>
      <c r="B58" s="74"/>
      <c r="C58" s="211"/>
      <c r="D58" s="212">
        <v>26.0</v>
      </c>
      <c r="E58" s="213">
        <f t="array" ref="E58">A58*D58</f>
        <v>0</v>
      </c>
      <c r="F58" s="204"/>
      <c r="G58" s="12"/>
      <c r="H58" s="12"/>
      <c r="I58" s="12"/>
      <c r="J58" s="30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61">
        <v>0.0</v>
      </c>
      <c r="B59" s="63"/>
      <c r="C59" s="208"/>
      <c r="D59" s="209">
        <v>33.0</v>
      </c>
      <c r="E59" s="210">
        <f t="array" ref="E59">A59*D59</f>
        <v>0</v>
      </c>
      <c r="F59" s="204"/>
      <c r="G59" s="12"/>
      <c r="H59" s="12"/>
      <c r="I59" s="12"/>
      <c r="J59" s="30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184" t="s">
        <v>142</v>
      </c>
      <c r="B60" s="214" t="s">
        <v>148</v>
      </c>
      <c r="C60" s="214" t="s">
        <v>149</v>
      </c>
      <c r="D60" s="215"/>
      <c r="E60" s="189" t="s">
        <v>142</v>
      </c>
      <c r="F60" s="204"/>
      <c r="G60" s="12"/>
      <c r="H60" s="12"/>
      <c r="I60" s="12"/>
      <c r="J60" s="30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190">
        <f t="array" ref="A61">SUM(A50:A59)</f>
        <v>0</v>
      </c>
      <c r="B61" s="216">
        <f t="array" ref="B61">E61*20%+E61</f>
        <v>0</v>
      </c>
      <c r="C61" s="217">
        <f t="array" ref="C61">B61*5</f>
        <v>0</v>
      </c>
      <c r="D61" s="218"/>
      <c r="E61" s="219">
        <f t="array" ref="E61">SUM(E50:E59)</f>
        <v>0</v>
      </c>
      <c r="F61" s="204"/>
      <c r="G61" s="12"/>
      <c r="H61" s="12"/>
      <c r="I61" s="12"/>
      <c r="J61" s="30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220"/>
      <c r="B62" s="221"/>
      <c r="C62" s="221"/>
      <c r="D62" s="222"/>
      <c r="E62" s="222"/>
      <c r="F62" s="174"/>
      <c r="G62" s="174"/>
      <c r="H62" s="174"/>
      <c r="I62" s="174"/>
      <c r="J62" s="179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5"/>
    <col customWidth="1" min="2" max="2" width="15.38"/>
    <col customWidth="1" min="3" max="3" width="12.5"/>
    <col customWidth="1" min="4" max="4" width="15.88"/>
    <col customWidth="1" min="5" max="5" width="10.38"/>
    <col customWidth="1" min="6" max="6" width="10.5"/>
    <col customWidth="1" min="7" max="7" width="21.38"/>
    <col customWidth="1" min="8" max="8" width="20.13"/>
    <col customWidth="1" min="9" max="9" width="13.88"/>
    <col customWidth="1" min="10" max="10" width="12.38"/>
    <col customWidth="1" min="11" max="11" width="21.38"/>
    <col customWidth="1" min="12" max="12" width="17.88"/>
    <col customWidth="1" min="13" max="13" width="17.63"/>
    <col customWidth="1" min="14" max="14" width="8.88"/>
    <col customWidth="1" min="15" max="26" width="10.0"/>
  </cols>
  <sheetData>
    <row r="1" ht="49.5" customHeight="1">
      <c r="A1" s="1" t="s">
        <v>0</v>
      </c>
      <c r="B1" s="1" t="s">
        <v>4</v>
      </c>
      <c r="C1" s="3" t="s">
        <v>5</v>
      </c>
      <c r="D1" s="6" t="s">
        <v>6</v>
      </c>
      <c r="E1" s="1" t="s">
        <v>14</v>
      </c>
      <c r="F1" s="3" t="s">
        <v>17</v>
      </c>
      <c r="G1" s="3" t="s">
        <v>19</v>
      </c>
      <c r="H1" s="1" t="s">
        <v>21</v>
      </c>
      <c r="I1" s="6" t="s">
        <v>23</v>
      </c>
      <c r="J1" s="6" t="s">
        <v>24</v>
      </c>
      <c r="K1" s="6" t="s">
        <v>26</v>
      </c>
      <c r="L1" s="6" t="s">
        <v>27</v>
      </c>
      <c r="M1" s="3" t="s">
        <v>28</v>
      </c>
      <c r="N1" s="1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4.0" customHeight="1">
      <c r="A2" s="36" t="s">
        <v>33</v>
      </c>
      <c r="B2" s="39" t="s">
        <v>40</v>
      </c>
      <c r="C2" s="42">
        <v>620.0</v>
      </c>
      <c r="D2" s="44">
        <v>900.0</v>
      </c>
      <c r="E2" s="46">
        <v>14.0</v>
      </c>
      <c r="F2" s="47">
        <v>12.0</v>
      </c>
      <c r="G2" s="42">
        <f t="array" ref="G2">E2*C2</f>
        <v>8680</v>
      </c>
      <c r="H2" s="58">
        <f t="array" ref="H2">E2*D2</f>
        <v>12600</v>
      </c>
      <c r="I2" s="62">
        <f t="array" ref="I2">J2/D2</f>
        <v>0.3111111111</v>
      </c>
      <c r="J2" s="67">
        <f t="array" ref="J2">D2-C2</f>
        <v>280</v>
      </c>
      <c r="K2" s="67">
        <f t="array" ref="K2">H2-G2</f>
        <v>3920</v>
      </c>
      <c r="L2" s="70">
        <f t="array" ref="L2">F2*J2</f>
        <v>3360</v>
      </c>
      <c r="M2" s="75">
        <f t="array" ref="M2">C2*F2</f>
        <v>7440</v>
      </c>
      <c r="N2" s="76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4.0" customHeight="1">
      <c r="A3" s="81" t="s">
        <v>33</v>
      </c>
      <c r="B3" s="82" t="s">
        <v>52</v>
      </c>
      <c r="C3" s="83">
        <v>620.0</v>
      </c>
      <c r="D3" s="84">
        <v>900.0</v>
      </c>
      <c r="E3" s="85">
        <v>17.0</v>
      </c>
      <c r="F3" s="86">
        <v>8.0</v>
      </c>
      <c r="G3" s="42">
        <f t="array" ref="G3">E3*C3</f>
        <v>10540</v>
      </c>
      <c r="H3" s="58">
        <f t="array" ref="H3">E3*D3</f>
        <v>15300</v>
      </c>
      <c r="I3" s="62">
        <f t="array" ref="I3">J3/D3</f>
        <v>0.3111111111</v>
      </c>
      <c r="J3" s="67">
        <f t="array" ref="J3">D3-C3</f>
        <v>280</v>
      </c>
      <c r="K3" s="67">
        <f t="array" ref="K3">H3-G3</f>
        <v>4760</v>
      </c>
      <c r="L3" s="70">
        <f t="array" ref="L3">F3*J3</f>
        <v>2240</v>
      </c>
      <c r="M3" s="75">
        <f t="array" ref="M3">C3*F3</f>
        <v>4960</v>
      </c>
      <c r="N3" s="76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4.0" customHeight="1">
      <c r="A4" s="36" t="s">
        <v>33</v>
      </c>
      <c r="B4" s="39" t="s">
        <v>63</v>
      </c>
      <c r="C4" s="42">
        <v>620.0</v>
      </c>
      <c r="D4" s="44">
        <v>900.0</v>
      </c>
      <c r="E4" s="46">
        <v>8.0</v>
      </c>
      <c r="F4" s="47">
        <v>4.0</v>
      </c>
      <c r="G4" s="42">
        <f t="array" ref="G4">E4*C4</f>
        <v>4960</v>
      </c>
      <c r="H4" s="58">
        <f t="array" ref="H4">E4*D4</f>
        <v>7200</v>
      </c>
      <c r="I4" s="62">
        <f t="array" ref="I4">J4/D4</f>
        <v>0.3111111111</v>
      </c>
      <c r="J4" s="67">
        <f t="array" ref="J4">D4-C4</f>
        <v>280</v>
      </c>
      <c r="K4" s="67">
        <f t="array" ref="K4">H4-G4</f>
        <v>2240</v>
      </c>
      <c r="L4" s="70">
        <f t="array" ref="L4">F4*J4</f>
        <v>1120</v>
      </c>
      <c r="M4" s="75">
        <f t="array" ref="M4">C4*F4</f>
        <v>2480</v>
      </c>
      <c r="N4" s="7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4.0" customHeight="1">
      <c r="A5" s="124" t="s">
        <v>58</v>
      </c>
      <c r="B5" s="125" t="s">
        <v>59</v>
      </c>
      <c r="C5" s="49">
        <v>550.0</v>
      </c>
      <c r="D5" s="44">
        <v>1100.0</v>
      </c>
      <c r="E5" s="46">
        <v>0.0</v>
      </c>
      <c r="F5" s="47">
        <v>1.0</v>
      </c>
      <c r="G5" s="42">
        <f t="array" ref="G5">E5*C5</f>
        <v>0</v>
      </c>
      <c r="H5" s="58">
        <f t="array" ref="H5">E5*D5</f>
        <v>0</v>
      </c>
      <c r="I5" s="62">
        <f t="array" ref="I5">J5/D5</f>
        <v>0.5</v>
      </c>
      <c r="J5" s="67">
        <f t="array" ref="J5">D5-C5</f>
        <v>550</v>
      </c>
      <c r="K5" s="67">
        <f t="array" ref="K5">H5-G5</f>
        <v>0</v>
      </c>
      <c r="L5" s="70">
        <f t="array" ref="L5">F5*J5</f>
        <v>550</v>
      </c>
      <c r="M5" s="75">
        <f t="array" ref="M5">C5*F5</f>
        <v>550</v>
      </c>
      <c r="N5" s="76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4.0" customHeight="1">
      <c r="A6" s="36" t="s">
        <v>58</v>
      </c>
      <c r="B6" s="39" t="s">
        <v>35</v>
      </c>
      <c r="C6" s="42">
        <v>550.0</v>
      </c>
      <c r="D6" s="67">
        <v>1000.0</v>
      </c>
      <c r="E6" s="46">
        <v>0.0</v>
      </c>
      <c r="F6" s="47">
        <v>1.0</v>
      </c>
      <c r="G6" s="42">
        <f t="array" ref="G6">E6*C6</f>
        <v>0</v>
      </c>
      <c r="H6" s="58">
        <f t="array" ref="H6">E6*D6</f>
        <v>0</v>
      </c>
      <c r="I6" s="62">
        <f t="array" ref="I6">J6/D6</f>
        <v>0.45</v>
      </c>
      <c r="J6" s="67">
        <f t="array" ref="J6">D6-C6</f>
        <v>450</v>
      </c>
      <c r="K6" s="67">
        <f t="array" ref="K6">H6-G6</f>
        <v>0</v>
      </c>
      <c r="L6" s="70">
        <f t="array" ref="L6">F6*J6</f>
        <v>450</v>
      </c>
      <c r="M6" s="75">
        <f t="array" ref="M6">C6*F6</f>
        <v>550</v>
      </c>
      <c r="N6" s="76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4.0" customHeight="1">
      <c r="A7" s="36" t="s">
        <v>50</v>
      </c>
      <c r="B7" s="39" t="s">
        <v>40</v>
      </c>
      <c r="C7" s="42">
        <v>155.0</v>
      </c>
      <c r="D7" s="67">
        <v>450.0</v>
      </c>
      <c r="E7" s="46">
        <v>4.0</v>
      </c>
      <c r="F7" s="47">
        <v>13.0</v>
      </c>
      <c r="G7" s="42">
        <f t="array" ref="G7">E7*C7</f>
        <v>620</v>
      </c>
      <c r="H7" s="58">
        <f t="array" ref="H7">E7*D7</f>
        <v>1800</v>
      </c>
      <c r="I7" s="62">
        <f t="array" ref="I7">J7/D7</f>
        <v>0.6555555556</v>
      </c>
      <c r="J7" s="67">
        <f t="array" ref="J7">D7-C7</f>
        <v>295</v>
      </c>
      <c r="K7" s="67">
        <f t="array" ref="K7">H7-G7</f>
        <v>1180</v>
      </c>
      <c r="L7" s="70">
        <f t="array" ref="L7">F7*J7</f>
        <v>3835</v>
      </c>
      <c r="M7" s="75">
        <f t="array" ref="M7">C7*F7</f>
        <v>2015</v>
      </c>
      <c r="N7" s="76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4.0" customHeight="1">
      <c r="A8" s="36" t="s">
        <v>113</v>
      </c>
      <c r="B8" s="39" t="s">
        <v>35</v>
      </c>
      <c r="C8" s="49">
        <v>580.0</v>
      </c>
      <c r="D8" s="44">
        <v>1400.0</v>
      </c>
      <c r="E8" s="46">
        <v>0.0</v>
      </c>
      <c r="F8" s="47">
        <v>2.0</v>
      </c>
      <c r="G8" s="42">
        <f t="array" ref="G8">E8*C8</f>
        <v>0</v>
      </c>
      <c r="H8" s="58">
        <f t="array" ref="H8">E8*D8</f>
        <v>0</v>
      </c>
      <c r="I8" s="62">
        <f t="array" ref="I8">J8/D8</f>
        <v>0.5857142857</v>
      </c>
      <c r="J8" s="67">
        <f t="array" ref="J8">D8-C8</f>
        <v>820</v>
      </c>
      <c r="K8" s="67">
        <f t="array" ref="K8">H8-G8</f>
        <v>0</v>
      </c>
      <c r="L8" s="70">
        <f t="array" ref="L8">F8*J8</f>
        <v>1640</v>
      </c>
      <c r="M8" s="75">
        <f t="array" ref="M8">C8*F8</f>
        <v>1160</v>
      </c>
      <c r="N8" s="76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4.0" customHeight="1">
      <c r="A9" s="36" t="s">
        <v>120</v>
      </c>
      <c r="B9" s="39" t="s">
        <v>66</v>
      </c>
      <c r="C9" s="49">
        <v>630.0</v>
      </c>
      <c r="D9" s="44">
        <v>1100.0</v>
      </c>
      <c r="E9" s="46">
        <v>45.0</v>
      </c>
      <c r="F9" s="47">
        <v>21.0</v>
      </c>
      <c r="G9" s="42">
        <f t="array" ref="G9">E9*C9</f>
        <v>28350</v>
      </c>
      <c r="H9" s="58">
        <f t="array" ref="H9">E9*D9</f>
        <v>49500</v>
      </c>
      <c r="I9" s="62">
        <f t="array" ref="I9">J9/D9</f>
        <v>0.4272727273</v>
      </c>
      <c r="J9" s="67">
        <f t="array" ref="J9">D9-C9</f>
        <v>470</v>
      </c>
      <c r="K9" s="67">
        <f t="array" ref="K9">H9-G9</f>
        <v>21150</v>
      </c>
      <c r="L9" s="70">
        <f t="array" ref="L9">F9*J9</f>
        <v>9870</v>
      </c>
      <c r="M9" s="75">
        <f t="array" ref="M9">C9*F9</f>
        <v>13230</v>
      </c>
      <c r="N9" s="76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4.0" customHeight="1">
      <c r="A10" s="124" t="s">
        <v>126</v>
      </c>
      <c r="B10" s="125" t="s">
        <v>49</v>
      </c>
      <c r="C10" s="49">
        <v>194.0</v>
      </c>
      <c r="D10" s="44">
        <v>300.0</v>
      </c>
      <c r="E10" s="46">
        <v>0.0</v>
      </c>
      <c r="F10" s="47">
        <v>1.0</v>
      </c>
      <c r="G10" s="42">
        <f t="array" ref="G10">E10*C10</f>
        <v>0</v>
      </c>
      <c r="H10" s="58">
        <f t="array" ref="H10">E10*D10</f>
        <v>0</v>
      </c>
      <c r="I10" s="62">
        <f t="array" ref="I10">J10/D10</f>
        <v>0.3533333333</v>
      </c>
      <c r="J10" s="67">
        <f t="array" ref="J10">D10-C10</f>
        <v>106</v>
      </c>
      <c r="K10" s="67">
        <f t="array" ref="K10">H10-G10</f>
        <v>0</v>
      </c>
      <c r="L10" s="70">
        <f t="array" ref="L10">F10*J10</f>
        <v>106</v>
      </c>
      <c r="M10" s="75">
        <f t="array" ref="M10">C10*F10</f>
        <v>194</v>
      </c>
      <c r="N10" s="76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4.0" customHeight="1">
      <c r="A11" s="124" t="s">
        <v>130</v>
      </c>
      <c r="B11" s="125" t="s">
        <v>131</v>
      </c>
      <c r="C11" s="49">
        <v>1000.0</v>
      </c>
      <c r="D11" s="44">
        <v>1700.0</v>
      </c>
      <c r="E11" s="46">
        <v>0.0</v>
      </c>
      <c r="F11" s="47">
        <v>0.0</v>
      </c>
      <c r="G11" s="42">
        <f t="array" ref="G11">E11*C11</f>
        <v>0</v>
      </c>
      <c r="H11" s="58">
        <f t="array" ref="H11">E11*D11</f>
        <v>0</v>
      </c>
      <c r="I11" s="62">
        <f t="array" ref="I11">J11/D11</f>
        <v>0.4117647059</v>
      </c>
      <c r="J11" s="67">
        <f t="array" ref="J11">D11-C11</f>
        <v>700</v>
      </c>
      <c r="K11" s="67">
        <f t="array" ref="K11">H11-G11</f>
        <v>0</v>
      </c>
      <c r="L11" s="70">
        <f t="array" ref="L11">F11*J11</f>
        <v>0</v>
      </c>
      <c r="M11" s="75">
        <f t="array" ref="M11">C11*F11</f>
        <v>0</v>
      </c>
      <c r="N11" s="76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4.0" customHeight="1">
      <c r="A12" s="124" t="s">
        <v>132</v>
      </c>
      <c r="B12" s="125" t="s">
        <v>133</v>
      </c>
      <c r="C12" s="49">
        <v>155.0</v>
      </c>
      <c r="D12" s="44">
        <v>200.0</v>
      </c>
      <c r="E12" s="46">
        <v>1.0</v>
      </c>
      <c r="F12" s="47">
        <v>0.0</v>
      </c>
      <c r="G12" s="42">
        <f>E12*C12</f>
        <v>155</v>
      </c>
      <c r="H12" s="58">
        <f t="array" ref="H12">E12*D12</f>
        <v>200</v>
      </c>
      <c r="I12" s="62">
        <f t="array" ref="I12">J12/D12</f>
        <v>0.225</v>
      </c>
      <c r="J12" s="67">
        <f t="array" ref="J12">D12-C12</f>
        <v>45</v>
      </c>
      <c r="K12" s="67">
        <f t="array" ref="K12">H12-G12</f>
        <v>45</v>
      </c>
      <c r="L12" s="70">
        <f t="array" ref="L12">F12*J12</f>
        <v>0</v>
      </c>
      <c r="M12" s="75">
        <f t="array" ref="M12">C12*F12</f>
        <v>0</v>
      </c>
      <c r="N12" s="76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4.0" customHeight="1">
      <c r="A13" s="124" t="s">
        <v>134</v>
      </c>
      <c r="B13" s="125" t="s">
        <v>135</v>
      </c>
      <c r="C13" s="49">
        <v>153.0</v>
      </c>
      <c r="D13" s="44">
        <v>200.0</v>
      </c>
      <c r="E13" s="46">
        <v>1.0</v>
      </c>
      <c r="F13" s="47">
        <v>0.0</v>
      </c>
      <c r="G13" s="42">
        <f t="array" ref="G13">E13*C13</f>
        <v>153</v>
      </c>
      <c r="H13" s="58">
        <f t="array" ref="H13">E13*D13</f>
        <v>200</v>
      </c>
      <c r="I13" s="62">
        <f t="array" ref="I13">J13/D13</f>
        <v>0.235</v>
      </c>
      <c r="J13" s="67">
        <f t="array" ref="J13">D13-C13</f>
        <v>47</v>
      </c>
      <c r="K13" s="67">
        <f t="array" ref="K13">H13-G13</f>
        <v>47</v>
      </c>
      <c r="L13" s="70">
        <f t="array" ref="L13">F13*J13</f>
        <v>0</v>
      </c>
      <c r="M13" s="75">
        <f t="array" ref="M13">C13*F13</f>
        <v>0</v>
      </c>
      <c r="N13" s="76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4.0" customHeight="1">
      <c r="A14" s="124" t="s">
        <v>60</v>
      </c>
      <c r="B14" s="125" t="s">
        <v>61</v>
      </c>
      <c r="C14" s="49">
        <v>110.0</v>
      </c>
      <c r="D14" s="44">
        <v>180.0</v>
      </c>
      <c r="E14" s="46">
        <v>0.0</v>
      </c>
      <c r="F14" s="47">
        <v>1.0</v>
      </c>
      <c r="G14" s="42">
        <f t="array" ref="G14">E14*C14</f>
        <v>0</v>
      </c>
      <c r="H14" s="58">
        <f t="array" ref="H14">E14*D14</f>
        <v>0</v>
      </c>
      <c r="I14" s="62">
        <f t="array" ref="I14">J14/D14</f>
        <v>0.3888888889</v>
      </c>
      <c r="J14" s="67">
        <f t="array" ref="J14">D14-C14</f>
        <v>70</v>
      </c>
      <c r="K14" s="67">
        <f t="array" ref="K14">H14-G14</f>
        <v>0</v>
      </c>
      <c r="L14" s="70">
        <f t="array" ref="L14">F14*J14</f>
        <v>70</v>
      </c>
      <c r="M14" s="75">
        <f t="array" ref="M14">C14*F14</f>
        <v>110</v>
      </c>
      <c r="N14" s="76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4.0" customHeight="1">
      <c r="A15" s="170" t="s">
        <v>54</v>
      </c>
      <c r="B15" s="171" t="s">
        <v>49</v>
      </c>
      <c r="C15" s="172">
        <v>92.0</v>
      </c>
      <c r="D15" s="84">
        <v>350.0</v>
      </c>
      <c r="E15" s="85">
        <v>0.0</v>
      </c>
      <c r="F15" s="86">
        <v>1.0</v>
      </c>
      <c r="G15" s="42">
        <f t="array" ref="G15">E15*C15</f>
        <v>0</v>
      </c>
      <c r="H15" s="58">
        <f t="array" ref="H15">E15*D15</f>
        <v>0</v>
      </c>
      <c r="I15" s="62">
        <f t="array" ref="I15">J15/D15</f>
        <v>0.7371428571</v>
      </c>
      <c r="J15" s="67">
        <f t="array" ref="J15">D15-C15</f>
        <v>258</v>
      </c>
      <c r="K15" s="67">
        <f t="array" ref="K15">H15-G15</f>
        <v>0</v>
      </c>
      <c r="L15" s="70">
        <f t="array" ref="L15">F15*J15</f>
        <v>258</v>
      </c>
      <c r="M15" s="75">
        <f t="array" ref="M15">C15*F15</f>
        <v>92</v>
      </c>
      <c r="N15" s="76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4.0" customHeight="1">
      <c r="A16" s="124" t="s">
        <v>138</v>
      </c>
      <c r="B16" s="125" t="s">
        <v>49</v>
      </c>
      <c r="C16" s="49">
        <v>92.0</v>
      </c>
      <c r="D16" s="44">
        <v>350.0</v>
      </c>
      <c r="E16" s="46">
        <v>1.0</v>
      </c>
      <c r="F16" s="47">
        <v>0.0</v>
      </c>
      <c r="G16" s="42">
        <f t="array" ref="G16">E16*C16</f>
        <v>92</v>
      </c>
      <c r="H16" s="58">
        <f t="array" ref="H16">E16*D16</f>
        <v>350</v>
      </c>
      <c r="I16" s="62">
        <f t="array" ref="I16">J16/D16</f>
        <v>0.7371428571</v>
      </c>
      <c r="J16" s="67">
        <f t="array" ref="J16">D16-C16</f>
        <v>258</v>
      </c>
      <c r="K16" s="67">
        <f t="array" ref="K16">H16-G16</f>
        <v>258</v>
      </c>
      <c r="L16" s="70">
        <f t="array" ref="L16">F16*J16</f>
        <v>0</v>
      </c>
      <c r="M16" s="75">
        <f t="array" ref="M16">C16*F16</f>
        <v>0</v>
      </c>
      <c r="N16" s="76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4.0" customHeight="1">
      <c r="A17" s="124" t="s">
        <v>139</v>
      </c>
      <c r="B17" s="125" t="s">
        <v>49</v>
      </c>
      <c r="C17" s="49">
        <v>92.0</v>
      </c>
      <c r="D17" s="44">
        <v>350.0</v>
      </c>
      <c r="E17" s="46">
        <v>0.0</v>
      </c>
      <c r="F17" s="47">
        <v>0.0</v>
      </c>
      <c r="G17" s="42">
        <f t="array" ref="G17">E17*C17</f>
        <v>0</v>
      </c>
      <c r="H17" s="58">
        <f t="array" ref="H17">E17*D17</f>
        <v>0</v>
      </c>
      <c r="I17" s="62">
        <f t="array" ref="I17">J17/D17</f>
        <v>0.7371428571</v>
      </c>
      <c r="J17" s="67">
        <f t="array" ref="J17">D17-C17</f>
        <v>258</v>
      </c>
      <c r="K17" s="67">
        <f t="array" ref="K17">H17-G17</f>
        <v>0</v>
      </c>
      <c r="L17" s="70">
        <f t="array" ref="L17">F17*J17</f>
        <v>0</v>
      </c>
      <c r="M17" s="75">
        <f t="array" ref="M17">C17*F17</f>
        <v>0</v>
      </c>
      <c r="N17" s="76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4.0" customHeight="1">
      <c r="A18" s="124" t="s">
        <v>140</v>
      </c>
      <c r="B18" s="125" t="s">
        <v>49</v>
      </c>
      <c r="C18" s="49">
        <v>169.0</v>
      </c>
      <c r="D18" s="44">
        <v>350.0</v>
      </c>
      <c r="E18" s="46">
        <v>1.0</v>
      </c>
      <c r="F18" s="47">
        <v>0.0</v>
      </c>
      <c r="G18" s="42">
        <f t="array" ref="G18">E18*C18</f>
        <v>169</v>
      </c>
      <c r="H18" s="58">
        <f t="array" ref="H18">E18*D18</f>
        <v>350</v>
      </c>
      <c r="I18" s="62">
        <f t="array" ref="I18">J18/D18</f>
        <v>0.5171428571</v>
      </c>
      <c r="J18" s="67">
        <f t="array" ref="J18">D18-C18</f>
        <v>181</v>
      </c>
      <c r="K18" s="67">
        <f t="array" ref="K18">H18-G18</f>
        <v>181</v>
      </c>
      <c r="L18" s="70">
        <f t="array" ref="L18">F18*J18</f>
        <v>0</v>
      </c>
      <c r="M18" s="75">
        <f t="array" ref="M18">C18*F18</f>
        <v>0</v>
      </c>
      <c r="N18" s="76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4.0" customHeight="1">
      <c r="A19" s="124" t="s">
        <v>141</v>
      </c>
      <c r="B19" s="125" t="s">
        <v>49</v>
      </c>
      <c r="C19" s="49">
        <v>186.0</v>
      </c>
      <c r="D19" s="44">
        <v>350.0</v>
      </c>
      <c r="E19" s="46">
        <v>1.0</v>
      </c>
      <c r="F19" s="47">
        <v>0.0</v>
      </c>
      <c r="G19" s="42">
        <f t="array" ref="G19">E19*C19</f>
        <v>186</v>
      </c>
      <c r="H19" s="58">
        <f t="array" ref="H19">E19*D19</f>
        <v>350</v>
      </c>
      <c r="I19" s="62">
        <f t="array" ref="I19">J19/D19</f>
        <v>0.4685714286</v>
      </c>
      <c r="J19" s="67">
        <f t="array" ref="J19">D19-C19</f>
        <v>164</v>
      </c>
      <c r="K19" s="67">
        <f t="array" ref="K19">H19-G19</f>
        <v>164</v>
      </c>
      <c r="L19" s="70">
        <f t="array" ref="L19">F19*J19</f>
        <v>0</v>
      </c>
      <c r="M19" s="75">
        <f t="array" ref="M19">C19*F19</f>
        <v>0</v>
      </c>
      <c r="N19" s="76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4.0" customHeight="1">
      <c r="A20" s="124" t="s">
        <v>78</v>
      </c>
      <c r="B20" s="125" t="s">
        <v>79</v>
      </c>
      <c r="C20" s="49">
        <v>300.0</v>
      </c>
      <c r="D20" s="44">
        <v>450.0</v>
      </c>
      <c r="E20" s="46">
        <v>0.0</v>
      </c>
      <c r="F20" s="47">
        <v>1.0</v>
      </c>
      <c r="G20" s="42">
        <f t="array" ref="G20">E20*C20</f>
        <v>0</v>
      </c>
      <c r="H20" s="58">
        <f t="array" ref="H20">E20*D20</f>
        <v>0</v>
      </c>
      <c r="I20" s="62">
        <f t="array" ref="I20">J20/D20</f>
        <v>0.3333333333</v>
      </c>
      <c r="J20" s="67">
        <f t="array" ref="J20">D20-C20</f>
        <v>150</v>
      </c>
      <c r="K20" s="67">
        <f t="array" ref="K20">H20-G20</f>
        <v>0</v>
      </c>
      <c r="L20" s="70">
        <f t="array" ref="L20">F20*J20</f>
        <v>150</v>
      </c>
      <c r="M20" s="75">
        <f t="array" ref="M20">C20*F20</f>
        <v>300</v>
      </c>
      <c r="N20" s="76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4.0" customHeight="1">
      <c r="A21" s="36"/>
      <c r="B21" s="39"/>
      <c r="C21" s="42"/>
      <c r="D21" s="67"/>
      <c r="E21" s="182"/>
      <c r="F21" s="183"/>
      <c r="G21" s="42">
        <f t="array" ref="G21">E21*C21</f>
        <v>0</v>
      </c>
      <c r="H21" s="58">
        <f t="array" ref="H21">E21*D21</f>
        <v>0</v>
      </c>
      <c r="I21" s="62" t="str">
        <f t="array" ref="I21">J21/D21</f>
        <v>#DIV/0!</v>
      </c>
      <c r="J21" s="67">
        <f t="array" ref="J21">D21-C21</f>
        <v>0</v>
      </c>
      <c r="K21" s="67">
        <f t="array" ref="K21">H21-G21</f>
        <v>0</v>
      </c>
      <c r="L21" s="70">
        <f t="array" ref="L21">F21*J21</f>
        <v>0</v>
      </c>
      <c r="M21" s="75">
        <f t="array" ref="M21">C21*F21</f>
        <v>0</v>
      </c>
      <c r="N21" s="76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4.0" customHeight="1">
      <c r="A22" s="36"/>
      <c r="B22" s="39"/>
      <c r="C22" s="42"/>
      <c r="D22" s="67"/>
      <c r="E22" s="182"/>
      <c r="F22" s="183"/>
      <c r="G22" s="42">
        <f t="array" ref="G22">E22*C22</f>
        <v>0</v>
      </c>
      <c r="H22" s="58">
        <f t="array" ref="H22">E22*D22</f>
        <v>0</v>
      </c>
      <c r="I22" s="62" t="str">
        <f t="array" ref="I22">J22/D22</f>
        <v>#DIV/0!</v>
      </c>
      <c r="J22" s="67">
        <f t="array" ref="J22">D22-C22</f>
        <v>0</v>
      </c>
      <c r="K22" s="67">
        <f t="array" ref="K22">H22-G22</f>
        <v>0</v>
      </c>
      <c r="L22" s="70">
        <f t="array" ref="L22">F22*J22</f>
        <v>0</v>
      </c>
      <c r="M22" s="75">
        <f t="array" ref="M22">C22*F22</f>
        <v>0</v>
      </c>
      <c r="N22" s="76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4.0" customHeight="1">
      <c r="A23" s="36"/>
      <c r="B23" s="39"/>
      <c r="C23" s="42"/>
      <c r="D23" s="67"/>
      <c r="E23" s="182"/>
      <c r="F23" s="183"/>
      <c r="G23" s="42">
        <f t="array" ref="G23">E23*C23</f>
        <v>0</v>
      </c>
      <c r="H23" s="58">
        <f t="array" ref="H23">E23*D23</f>
        <v>0</v>
      </c>
      <c r="I23" s="62" t="str">
        <f t="array" ref="I23">J23/D23</f>
        <v>#DIV/0!</v>
      </c>
      <c r="J23" s="67">
        <f t="array" ref="J23">D23-C23</f>
        <v>0</v>
      </c>
      <c r="K23" s="67">
        <f t="array" ref="K23">H23-G23</f>
        <v>0</v>
      </c>
      <c r="L23" s="70">
        <f t="array" ref="L23">F23*J23</f>
        <v>0</v>
      </c>
      <c r="M23" s="75">
        <f t="array" ref="M23">C23*F23</f>
        <v>0</v>
      </c>
      <c r="N23" s="76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4.0" customHeight="1">
      <c r="A24" s="36"/>
      <c r="B24" s="39"/>
      <c r="C24" s="42"/>
      <c r="D24" s="67"/>
      <c r="E24" s="182"/>
      <c r="F24" s="183"/>
      <c r="G24" s="42">
        <f t="array" ref="G24">E24*C24</f>
        <v>0</v>
      </c>
      <c r="H24" s="58">
        <f t="array" ref="H24">E24*D24</f>
        <v>0</v>
      </c>
      <c r="I24" s="62" t="str">
        <f t="array" ref="I24">J24/D24</f>
        <v>#DIV/0!</v>
      </c>
      <c r="J24" s="67">
        <f t="array" ref="J24">D24-C24</f>
        <v>0</v>
      </c>
      <c r="K24" s="67">
        <f t="array" ref="K24">H24-G24</f>
        <v>0</v>
      </c>
      <c r="L24" s="70">
        <f t="array" ref="L24">F24*J24</f>
        <v>0</v>
      </c>
      <c r="M24" s="75">
        <f t="array" ref="M24">C24*F24</f>
        <v>0</v>
      </c>
      <c r="N24" s="76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4.0" customHeight="1">
      <c r="A25" s="36"/>
      <c r="B25" s="39"/>
      <c r="C25" s="42"/>
      <c r="D25" s="67"/>
      <c r="E25" s="182"/>
      <c r="F25" s="183"/>
      <c r="G25" s="42">
        <f t="array" ref="G25">E25*C25</f>
        <v>0</v>
      </c>
      <c r="H25" s="58">
        <f t="array" ref="H25">E25*D25</f>
        <v>0</v>
      </c>
      <c r="I25" s="62" t="str">
        <f t="array" ref="I25">J25/D25</f>
        <v>#DIV/0!</v>
      </c>
      <c r="J25" s="67">
        <f t="array" ref="J25">D25-C25</f>
        <v>0</v>
      </c>
      <c r="K25" s="67">
        <f t="array" ref="K25">H25-G25</f>
        <v>0</v>
      </c>
      <c r="L25" s="70">
        <f t="array" ref="L25">F25*J25</f>
        <v>0</v>
      </c>
      <c r="M25" s="75">
        <f t="array" ref="M25">C25*F25</f>
        <v>0</v>
      </c>
      <c r="N25" s="76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4.0" customHeight="1">
      <c r="A26" s="36"/>
      <c r="B26" s="39"/>
      <c r="C26" s="42"/>
      <c r="D26" s="67"/>
      <c r="E26" s="182"/>
      <c r="F26" s="183"/>
      <c r="G26" s="42">
        <f t="array" ref="G26">E26*C26</f>
        <v>0</v>
      </c>
      <c r="H26" s="58">
        <f t="array" ref="H26">E26*D26</f>
        <v>0</v>
      </c>
      <c r="I26" s="62" t="str">
        <f t="array" ref="I26">J26/D26</f>
        <v>#DIV/0!</v>
      </c>
      <c r="J26" s="67">
        <f t="array" ref="J26">D26-C26</f>
        <v>0</v>
      </c>
      <c r="K26" s="67">
        <f t="array" ref="K26">H26-G26</f>
        <v>0</v>
      </c>
      <c r="L26" s="70">
        <f t="array" ref="L26">F26*J26</f>
        <v>0</v>
      </c>
      <c r="M26" s="75">
        <f t="array" ref="M26">C26*F26</f>
        <v>0</v>
      </c>
      <c r="N26" s="76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4.0" customHeight="1">
      <c r="A27" s="36"/>
      <c r="B27" s="39"/>
      <c r="C27" s="42"/>
      <c r="D27" s="67"/>
      <c r="E27" s="182"/>
      <c r="F27" s="183"/>
      <c r="G27" s="42">
        <f t="array" ref="G27">E27*C27</f>
        <v>0</v>
      </c>
      <c r="H27" s="58">
        <f t="array" ref="H27">E27*D27</f>
        <v>0</v>
      </c>
      <c r="I27" s="62" t="str">
        <f t="array" ref="I27">J27/D27</f>
        <v>#DIV/0!</v>
      </c>
      <c r="J27" s="67">
        <f t="array" ref="J27">D27-C27</f>
        <v>0</v>
      </c>
      <c r="K27" s="67">
        <f t="array" ref="K27">H27-G27</f>
        <v>0</v>
      </c>
      <c r="L27" s="70">
        <f t="array" ref="L27">F27*J27</f>
        <v>0</v>
      </c>
      <c r="M27" s="75">
        <f t="array" ref="M27">C27*F27</f>
        <v>0</v>
      </c>
      <c r="N27" s="76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4.0" customHeight="1">
      <c r="A28" s="36"/>
      <c r="B28" s="39"/>
      <c r="C28" s="42"/>
      <c r="D28" s="67"/>
      <c r="E28" s="182"/>
      <c r="F28" s="183"/>
      <c r="G28" s="42">
        <f t="array" ref="G28">E28*C28</f>
        <v>0</v>
      </c>
      <c r="H28" s="58">
        <f t="array" ref="H28">E28*D28</f>
        <v>0</v>
      </c>
      <c r="I28" s="62" t="str">
        <f t="array" ref="I28">J28/D28</f>
        <v>#DIV/0!</v>
      </c>
      <c r="J28" s="67">
        <f t="array" ref="J28">D28-C28</f>
        <v>0</v>
      </c>
      <c r="K28" s="67">
        <f t="array" ref="K28">H28-G28</f>
        <v>0</v>
      </c>
      <c r="L28" s="70">
        <f t="array" ref="L28">F28*J28</f>
        <v>0</v>
      </c>
      <c r="M28" s="75">
        <f t="array" ref="M28">C28*F28</f>
        <v>0</v>
      </c>
      <c r="N28" s="76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4.0" customHeight="1">
      <c r="A29" s="36"/>
      <c r="B29" s="39"/>
      <c r="C29" s="42"/>
      <c r="D29" s="67"/>
      <c r="E29" s="182"/>
      <c r="F29" s="183"/>
      <c r="G29" s="42">
        <f t="array" ref="G29">E29*C29</f>
        <v>0</v>
      </c>
      <c r="H29" s="58">
        <f t="array" ref="H29">E29*D29</f>
        <v>0</v>
      </c>
      <c r="I29" s="62" t="str">
        <f t="array" ref="I29">J29/D29</f>
        <v>#DIV/0!</v>
      </c>
      <c r="J29" s="67">
        <f t="array" ref="J29">D29-C29</f>
        <v>0</v>
      </c>
      <c r="K29" s="67">
        <f t="array" ref="K29">H29-G29</f>
        <v>0</v>
      </c>
      <c r="L29" s="70">
        <f t="array" ref="L29">F29*J29</f>
        <v>0</v>
      </c>
      <c r="M29" s="75">
        <f t="array" ref="M29">C29*F29</f>
        <v>0</v>
      </c>
      <c r="N29" s="76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4.0" customHeight="1">
      <c r="A30" s="36"/>
      <c r="B30" s="39"/>
      <c r="C30" s="42"/>
      <c r="D30" s="67"/>
      <c r="E30" s="182"/>
      <c r="F30" s="183"/>
      <c r="G30" s="42">
        <f t="array" ref="G30">E30*C30</f>
        <v>0</v>
      </c>
      <c r="H30" s="58">
        <f t="array" ref="H30">E30*D30</f>
        <v>0</v>
      </c>
      <c r="I30" s="62" t="str">
        <f t="array" ref="I30">J30/D30</f>
        <v>#DIV/0!</v>
      </c>
      <c r="J30" s="67">
        <f t="array" ref="J30">D30-C30</f>
        <v>0</v>
      </c>
      <c r="K30" s="67">
        <f t="array" ref="K30">H30-G30</f>
        <v>0</v>
      </c>
      <c r="L30" s="70">
        <f t="array" ref="L30">F30*J30</f>
        <v>0</v>
      </c>
      <c r="M30" s="75">
        <f t="array" ref="M30">C30*F30</f>
        <v>0</v>
      </c>
      <c r="N30" s="76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4.0" customHeight="1">
      <c r="A31" s="36"/>
      <c r="B31" s="39"/>
      <c r="C31" s="42"/>
      <c r="D31" s="67"/>
      <c r="E31" s="182"/>
      <c r="F31" s="183"/>
      <c r="G31" s="42">
        <f t="array" ref="G31">E31*C31</f>
        <v>0</v>
      </c>
      <c r="H31" s="58">
        <f t="array" ref="H31">E31*D31</f>
        <v>0</v>
      </c>
      <c r="I31" s="62" t="str">
        <f t="array" ref="I31">J31/D31</f>
        <v>#DIV/0!</v>
      </c>
      <c r="J31" s="67">
        <f t="array" ref="J31">D31-C31</f>
        <v>0</v>
      </c>
      <c r="K31" s="67">
        <f t="array" ref="K31">H31-G31</f>
        <v>0</v>
      </c>
      <c r="L31" s="70">
        <f t="array" ref="L31">F31*J31</f>
        <v>0</v>
      </c>
      <c r="M31" s="75">
        <f t="array" ref="M31">C31*F31</f>
        <v>0</v>
      </c>
      <c r="N31" s="76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4.0" customHeight="1">
      <c r="A32" s="81"/>
      <c r="B32" s="82"/>
      <c r="C32" s="83"/>
      <c r="D32" s="223"/>
      <c r="E32" s="224"/>
      <c r="F32" s="225"/>
      <c r="G32" s="42">
        <f t="array" ref="G32">E32*C32</f>
        <v>0</v>
      </c>
      <c r="H32" s="58">
        <f t="array" ref="H32">E32*D32</f>
        <v>0</v>
      </c>
      <c r="I32" s="62" t="str">
        <f t="array" ref="I32">J32/D32</f>
        <v>#DIV/0!</v>
      </c>
      <c r="J32" s="67">
        <f t="array" ref="J32">D32-C32</f>
        <v>0</v>
      </c>
      <c r="K32" s="67">
        <f t="array" ref="K32">H32-G32</f>
        <v>0</v>
      </c>
      <c r="L32" s="70">
        <f t="array" ref="L32">F32*J32</f>
        <v>0</v>
      </c>
      <c r="M32" s="75">
        <f t="array" ref="M32">C32*F32</f>
        <v>0</v>
      </c>
      <c r="N32" s="76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4.0" customHeight="1">
      <c r="A33" s="226"/>
      <c r="B33" s="227"/>
      <c r="C33" s="42"/>
      <c r="D33" s="67"/>
      <c r="E33" s="182"/>
      <c r="F33" s="183"/>
      <c r="G33" s="42">
        <f t="array" ref="G33">E33*C33</f>
        <v>0</v>
      </c>
      <c r="H33" s="58">
        <f t="array" ref="H33">E33*D33</f>
        <v>0</v>
      </c>
      <c r="I33" s="62" t="str">
        <f t="array" ref="I33">J33/D33</f>
        <v>#DIV/0!</v>
      </c>
      <c r="J33" s="67">
        <f t="array" ref="J33">D33-C33</f>
        <v>0</v>
      </c>
      <c r="K33" s="67">
        <f t="array" ref="K33">H33-G33</f>
        <v>0</v>
      </c>
      <c r="L33" s="70">
        <f t="array" ref="L33">F33*J33</f>
        <v>0</v>
      </c>
      <c r="M33" s="75">
        <f t="array" ref="M33">C33*F33</f>
        <v>0</v>
      </c>
      <c r="N33" s="76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4.0" customHeight="1">
      <c r="A34" s="228"/>
      <c r="B34" s="228"/>
      <c r="C34" s="229"/>
      <c r="D34" s="230"/>
      <c r="E34" s="231" t="s">
        <v>153</v>
      </c>
      <c r="F34" s="232" t="s">
        <v>154</v>
      </c>
      <c r="G34" s="233" t="s">
        <v>155</v>
      </c>
      <c r="H34" s="234" t="s">
        <v>156</v>
      </c>
      <c r="I34" s="235" t="s">
        <v>157</v>
      </c>
      <c r="J34" s="230"/>
      <c r="K34" s="236" t="s">
        <v>158</v>
      </c>
      <c r="L34" s="237" t="s">
        <v>159</v>
      </c>
      <c r="M34" s="238" t="s">
        <v>160</v>
      </c>
      <c r="N34" s="76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4.0" customHeight="1">
      <c r="A35" s="228"/>
      <c r="B35" s="228"/>
      <c r="C35" s="239"/>
      <c r="D35" s="240"/>
      <c r="E35" s="241">
        <f t="array" ref="E35">SUM(E2:E33)</f>
        <v>93</v>
      </c>
      <c r="F35" s="242">
        <f>SUM(F2:F33)</f>
        <v>66</v>
      </c>
      <c r="G35" s="243">
        <f t="array" ref="G35">SUM(G2:G33)</f>
        <v>53905</v>
      </c>
      <c r="H35" s="244">
        <f t="array" ref="H35">SUM(H2:H33)</f>
        <v>87850</v>
      </c>
      <c r="I35" s="245">
        <v>0.5</v>
      </c>
      <c r="J35" s="246"/>
      <c r="K35" s="247">
        <f t="array" ref="K35">H35-G35</f>
        <v>33945</v>
      </c>
      <c r="L35" s="247">
        <f t="array" ref="L35">SUM(L2:L33)</f>
        <v>23649</v>
      </c>
      <c r="M35" s="243">
        <f t="array" ref="M35">SUM(M2:M33)</f>
        <v>33081</v>
      </c>
      <c r="N35" s="76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248"/>
      <c r="B36" s="249"/>
      <c r="C36" s="249"/>
      <c r="D36" s="250"/>
      <c r="E36" s="249"/>
      <c r="F36" s="250"/>
      <c r="G36" s="250"/>
      <c r="H36" s="249"/>
      <c r="I36" s="251"/>
      <c r="J36" s="249"/>
      <c r="K36" s="249"/>
      <c r="L36" s="250"/>
      <c r="M36" s="249"/>
      <c r="N36" s="25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4.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4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4.0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4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4.0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4.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4.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4.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4.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4.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4.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4.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4.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4.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4.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4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4.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4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4.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4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4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4.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4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4.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4.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4.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4.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4.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4.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4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4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4.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4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4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4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4.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4.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4.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4.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4.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4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4.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4.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4.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4.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4.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4.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4.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4.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4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4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4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4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4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4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4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4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4.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4.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4.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4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4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4.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4.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4.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4.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4.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4.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4.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4.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4.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4.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4.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4.0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4.0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4.0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4.0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4.0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4.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4.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4.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4.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4.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4.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4.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4.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4.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4.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4.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4.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4.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4.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4.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4.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4.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4.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4.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4.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4.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4.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4.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4.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4.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4.0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4.0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4.0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4.0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4.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4.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4.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4.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4.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4.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4.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4.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4.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4.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4.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4.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4.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4.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4.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4.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4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4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4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4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4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4.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4.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4.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4.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4.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4.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4.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4.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4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4.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4.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4.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4.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4.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4.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4.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4.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4.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4.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4.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4.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4.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4.0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4.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4.0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4.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4.0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4.0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4.0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4.0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4.0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4.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4.0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4.0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4.0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4.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4.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4.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4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4.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4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4.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4.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4.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4.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4.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4.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4.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4.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4.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4.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4.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4.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4.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4.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4.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4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4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4.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4.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4.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4.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4.0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4.0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4.0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4.0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4.0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4.0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4.0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4.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4.0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4.0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4.0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4.0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24.0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4.0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4.0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4.0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4.0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4.0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4.0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4.0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4.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4.0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4.0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4.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4.0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4.0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4.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4.0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4.0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4.0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4.0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4.0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4.0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4.0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4.0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4.0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4.0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4.0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4.0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4.0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4.0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4.0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4.0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4.0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4.0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4.0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4.0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4.0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4.0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4.0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4.0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4.0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4.0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4.0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4.0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4.0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4.0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24.0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24.0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4.0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4.0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4.0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4.0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24.0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24.0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4.0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24.0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4.0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4.0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24.0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24.0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4.0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4.0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4.0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4.0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4.0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4.0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4.0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4.0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4.0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4.0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4.0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4.0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4.0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4.0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4.0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4.0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4.0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4.0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4.0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4.0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4.0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4.0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4.0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4.0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4.0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4.0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4.0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4.0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4.0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4.0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4.0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4.0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4.0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4.0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4.0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24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4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24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24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24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24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24.0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24.0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24.0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24.0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24.0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4.0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24.0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24.0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24.0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24.0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4.0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24.0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24.0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24.0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24.0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24.0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24.0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24.0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24.0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24.0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24.0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24.0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24.0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24.0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24.0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24.0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24.0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24.0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24.0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24.0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24.0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24.0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24.0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24.0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24.0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24.0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24.0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24.0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24.0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24.0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24.0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24.0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24.0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24.0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24.0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24.0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24.0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24.0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24.0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24.0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24.0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24.0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24.0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24.0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24.0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24.0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24.0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24.0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24.0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24.0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24.0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24.0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24.0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24.0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24.0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24.0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24.0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24.0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24.0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24.0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24.0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24.0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24.0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24.0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24.0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24.0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24.0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24.0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24.0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24.0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24.0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24.0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24.0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24.0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24.0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24.0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24.0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24.0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24.0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24.0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24.0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24.0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24.0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24.0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24.0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24.0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24.0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24.0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24.0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24.0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24.0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24.0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24.0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24.0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24.0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24.0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24.0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24.0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24.0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24.0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24.0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24.0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24.0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24.0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24.0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24.0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24.0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24.0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24.0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24.0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24.0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24.0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24.0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24.0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24.0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24.0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24.0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24.0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24.0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24.0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24.0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24.0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24.0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24.0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24.0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24.0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24.0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24.0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24.0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24.0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24.0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24.0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24.0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24.0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24.0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24.0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24.0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24.0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24.0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24.0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24.0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24.0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24.0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24.0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24.0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24.0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24.0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24.0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24.0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24.0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24.0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24.0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24.0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24.0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24.0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24.0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24.0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24.0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24.0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24.0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24.0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24.0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24.0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24.0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24.0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24.0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24.0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24.0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24.0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24.0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24.0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24.0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24.0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24.0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24.0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24.0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24.0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24.0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24.0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24.0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24.0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24.0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24.0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24.0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24.0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24.0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24.0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24.0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24.0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24.0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24.0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24.0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24.0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24.0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24.0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24.0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24.0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24.0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24.0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24.0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24.0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24.0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24.0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24.0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24.0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24.0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24.0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24.0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24.0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24.0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24.0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24.0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24.0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24.0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24.0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24.0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24.0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24.0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24.0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24.0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24.0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24.0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24.0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24.0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24.0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24.0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24.0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24.0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24.0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24.0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24.0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24.0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24.0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24.0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24.0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24.0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24.0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24.0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24.0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24.0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24.0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24.0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24.0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24.0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24.0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24.0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24.0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24.0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24.0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24.0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24.0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24.0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24.0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24.0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24.0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24.0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24.0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24.0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24.0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24.0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24.0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24.0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24.0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24.0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24.0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24.0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24.0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24.0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24.0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24.0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24.0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24.0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24.0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24.0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24.0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24.0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24.0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24.0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24.0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24.0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24.0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24.0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24.0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24.0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24.0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24.0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24.0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24.0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24.0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24.0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24.0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24.0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24.0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24.0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24.0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24.0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24.0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24.0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24.0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24.0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24.0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24.0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24.0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24.0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24.0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24.0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24.0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24.0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24.0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24.0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24.0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24.0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24.0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24.0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24.0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24.0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24.0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24.0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24.0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24.0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24.0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24.0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24.0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24.0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24.0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24.0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24.0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24.0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24.0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24.0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24.0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24.0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24.0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24.0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24.0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24.0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24.0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24.0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24.0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24.0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24.0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24.0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24.0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24.0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24.0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24.0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24.0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24.0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24.0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24.0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24.0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24.0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24.0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24.0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24.0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24.0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24.0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24.0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24.0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24.0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24.0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24.0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24.0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24.0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24.0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24.0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24.0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24.0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24.0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24.0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24.0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24.0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24.0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24.0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24.0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24.0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24.0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24.0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24.0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24.0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24.0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24.0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24.0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24.0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24.0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24.0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24.0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24.0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24.0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24.0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24.0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24.0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24.0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24.0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24.0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24.0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24.0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24.0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24.0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24.0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24.0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24.0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24.0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24.0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24.0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24.0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24.0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24.0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24.0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24.0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24.0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24.0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24.0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24.0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24.0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24.0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24.0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24.0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24.0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24.0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24.0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24.0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24.0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24.0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24.0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24.0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24.0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24.0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24.0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24.0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24.0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24.0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24.0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24.0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24.0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24.0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24.0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24.0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24.0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24.0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24.0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24.0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24.0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24.0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24.0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24.0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24.0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24.0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24.0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24.0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24.0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24.0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24.0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24.0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24.0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24.0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24.0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24.0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24.0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24.0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24.0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24.0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24.0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24.0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24.0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24.0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24.0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24.0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24.0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24.0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24.0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24.0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24.0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24.0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24.0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24.0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24.0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24.0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24.0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24.0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24.0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24.0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24.0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24.0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24.0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24.0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24.0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24.0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24.0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24.0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24.0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24.0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24.0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24.0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24.0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24.0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24.0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24.0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24.0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24.0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24.0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24.0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24.0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24.0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24.0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24.0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24.0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24.0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24.0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24.0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24.0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24.0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24.0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24.0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24.0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24.0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24.0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24.0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24.0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24.0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24.0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24.0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24.0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24.0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24.0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24.0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24.0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24.0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24.0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24.0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24.0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24.0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24.0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24.0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24.0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24.0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24.0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24.0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24.0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24.0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24.0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24.0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24.0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24.0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24.0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24.0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24.0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24.0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24.0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24.0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24.0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24.0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24.0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24.0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24.0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24.0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24.0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24.0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24.0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24.0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24.0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24.0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24.0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24.0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24.0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24.0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24.0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24.0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24.0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24.0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24.0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24.0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24.0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24.0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24.0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24.0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24.0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24.0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24.0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24.0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24.0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24.0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24.0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24.0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24.0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24.0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24.0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24.0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24.0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24.0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24.0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24.0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24.0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24.0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24.0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24.0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24.0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24.0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24.0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24.0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24.0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24.0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24.0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24.0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24.0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24.0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24.0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24.0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24.0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24.0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24.0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24.0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24.0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24.0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24.0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24.0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24.0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24.0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24.0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24.0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24.0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24.0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24.0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24.0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24.0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24.0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24.0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24.0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24.0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24.0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24.0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24.0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24.0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24.0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24.0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24.0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24.0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24.0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24.0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24.0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24.0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24.0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24.0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24.0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24.0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24.0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24.0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24.0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24.0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24.0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24.0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24.0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24.0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24.0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24.0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24.0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24.0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24.0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24.0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24.0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24.0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24.0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24.0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</sheetData>
  <autoFilter ref="$A$1:$M$35"/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38"/>
    <col customWidth="1" min="2" max="2" width="16.13"/>
    <col customWidth="1" min="3" max="3" width="15.88"/>
    <col customWidth="1" min="4" max="4" width="14.38"/>
    <col customWidth="1" min="5" max="5" width="14.88"/>
    <col customWidth="1" min="6" max="6" width="35.25"/>
    <col customWidth="1" min="7" max="7" width="14.0"/>
    <col customWidth="1" min="8" max="8" width="8.88"/>
    <col customWidth="1" min="9" max="26" width="10.0"/>
  </cols>
  <sheetData>
    <row r="1" ht="31.5" customHeight="1">
      <c r="A1" s="4" t="s">
        <v>2</v>
      </c>
      <c r="B1" s="4" t="s">
        <v>8</v>
      </c>
      <c r="C1" s="4" t="s">
        <v>9</v>
      </c>
      <c r="D1" s="4" t="s">
        <v>11</v>
      </c>
      <c r="E1" s="4" t="s">
        <v>12</v>
      </c>
      <c r="F1" s="8" t="s">
        <v>16</v>
      </c>
      <c r="G1" s="10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7.25" customHeight="1">
      <c r="A2" s="16" t="s">
        <v>32</v>
      </c>
      <c r="B2" s="19" t="s">
        <v>35</v>
      </c>
      <c r="C2" s="22">
        <v>1.0</v>
      </c>
      <c r="D2" s="24">
        <v>1000.0</v>
      </c>
      <c r="E2" s="27">
        <v>1700.0</v>
      </c>
      <c r="F2" s="27" t="s">
        <v>38</v>
      </c>
      <c r="G2" s="30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6.5" customHeight="1">
      <c r="A3" s="16" t="s">
        <v>33</v>
      </c>
      <c r="B3" s="32" t="s">
        <v>40</v>
      </c>
      <c r="C3" s="33">
        <v>1.0</v>
      </c>
      <c r="D3" s="34">
        <v>620.0</v>
      </c>
      <c r="E3" s="35">
        <v>840.0</v>
      </c>
      <c r="F3" s="27" t="s">
        <v>46</v>
      </c>
      <c r="G3" s="3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6.5" customHeight="1">
      <c r="A4" s="16" t="s">
        <v>48</v>
      </c>
      <c r="B4" s="38" t="s">
        <v>49</v>
      </c>
      <c r="C4" s="22">
        <v>1.0</v>
      </c>
      <c r="D4" s="41">
        <v>194.0</v>
      </c>
      <c r="E4" s="27">
        <v>300.0</v>
      </c>
      <c r="F4" s="27" t="s">
        <v>38</v>
      </c>
      <c r="G4" s="30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5" customHeight="1">
      <c r="A5" s="16" t="s">
        <v>50</v>
      </c>
      <c r="B5" s="32" t="s">
        <v>40</v>
      </c>
      <c r="C5" s="33">
        <v>1.0</v>
      </c>
      <c r="D5" s="34">
        <v>155.0</v>
      </c>
      <c r="E5" s="35">
        <v>300.0</v>
      </c>
      <c r="F5" s="27"/>
      <c r="G5" s="3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16" t="s">
        <v>50</v>
      </c>
      <c r="B6" s="38" t="s">
        <v>40</v>
      </c>
      <c r="C6" s="22">
        <v>2.0</v>
      </c>
      <c r="D6" s="41">
        <v>310.0</v>
      </c>
      <c r="E6" s="27">
        <v>600.0</v>
      </c>
      <c r="F6" s="27"/>
      <c r="G6" s="3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 customHeight="1">
      <c r="A7" s="16" t="s">
        <v>33</v>
      </c>
      <c r="B7" s="50" t="s">
        <v>40</v>
      </c>
      <c r="C7" s="51">
        <v>1.0</v>
      </c>
      <c r="D7" s="34">
        <v>620.0</v>
      </c>
      <c r="E7" s="52">
        <v>840.0</v>
      </c>
      <c r="F7" s="27"/>
      <c r="G7" s="3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16" t="s">
        <v>33</v>
      </c>
      <c r="B8" s="38" t="s">
        <v>52</v>
      </c>
      <c r="C8" s="22">
        <v>1.0</v>
      </c>
      <c r="D8" s="41">
        <v>620.0</v>
      </c>
      <c r="E8" s="27">
        <v>840.0</v>
      </c>
      <c r="F8" s="27"/>
      <c r="G8" s="3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16" t="s">
        <v>33</v>
      </c>
      <c r="B9" s="32" t="s">
        <v>40</v>
      </c>
      <c r="C9" s="33">
        <v>1.0</v>
      </c>
      <c r="D9" s="34">
        <v>620.0</v>
      </c>
      <c r="E9" s="35">
        <v>840.0</v>
      </c>
      <c r="F9" s="27"/>
      <c r="G9" s="3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16" t="s">
        <v>33</v>
      </c>
      <c r="B10" s="16" t="s">
        <v>52</v>
      </c>
      <c r="C10" s="22">
        <v>1.0</v>
      </c>
      <c r="D10" s="41">
        <v>620.0</v>
      </c>
      <c r="E10" s="27">
        <v>840.0</v>
      </c>
      <c r="F10" s="27"/>
      <c r="G10" s="3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6.5" customHeight="1">
      <c r="A11" s="50" t="s">
        <v>50</v>
      </c>
      <c r="B11" s="50" t="s">
        <v>40</v>
      </c>
      <c r="C11" s="33">
        <v>1.0</v>
      </c>
      <c r="D11" s="34">
        <v>155.0</v>
      </c>
      <c r="E11" s="35">
        <v>400.0</v>
      </c>
      <c r="F11" s="27"/>
      <c r="G11" s="3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6.5" customHeight="1">
      <c r="A12" s="38" t="s">
        <v>54</v>
      </c>
      <c r="B12" s="38" t="s">
        <v>49</v>
      </c>
      <c r="C12" s="22">
        <v>1.0</v>
      </c>
      <c r="D12" s="41">
        <v>92.0</v>
      </c>
      <c r="E12" s="27">
        <v>350.0</v>
      </c>
      <c r="F12" s="27" t="s">
        <v>55</v>
      </c>
      <c r="G12" s="3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6.5" customHeight="1">
      <c r="A13" s="32" t="s">
        <v>50</v>
      </c>
      <c r="B13" s="32" t="s">
        <v>40</v>
      </c>
      <c r="C13" s="33">
        <v>1.0</v>
      </c>
      <c r="D13" s="34">
        <v>155.0</v>
      </c>
      <c r="E13" s="35">
        <v>400.0</v>
      </c>
      <c r="F13" s="27" t="s">
        <v>56</v>
      </c>
      <c r="G13" s="30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16" t="s">
        <v>50</v>
      </c>
      <c r="B14" s="16" t="s">
        <v>40</v>
      </c>
      <c r="C14" s="22">
        <v>1.0</v>
      </c>
      <c r="D14" s="41">
        <v>155.0</v>
      </c>
      <c r="E14" s="27">
        <v>350.0</v>
      </c>
      <c r="F14" s="27" t="s">
        <v>57</v>
      </c>
      <c r="G14" s="30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6.5" customHeight="1">
      <c r="A15" s="50" t="s">
        <v>50</v>
      </c>
      <c r="B15" s="50" t="s">
        <v>40</v>
      </c>
      <c r="C15" s="33">
        <v>1.0</v>
      </c>
      <c r="D15" s="34">
        <v>155.0</v>
      </c>
      <c r="E15" s="35">
        <v>350.0</v>
      </c>
      <c r="F15" s="27" t="s">
        <v>57</v>
      </c>
      <c r="G15" s="30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32" t="s">
        <v>58</v>
      </c>
      <c r="B16" s="32" t="s">
        <v>59</v>
      </c>
      <c r="C16" s="33">
        <v>1.0</v>
      </c>
      <c r="D16" s="34">
        <v>550.0</v>
      </c>
      <c r="E16" s="35">
        <v>1500.0</v>
      </c>
      <c r="F16" s="27" t="s">
        <v>51</v>
      </c>
      <c r="G16" s="30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6.5" customHeight="1">
      <c r="A17" s="38" t="s">
        <v>60</v>
      </c>
      <c r="B17" s="38" t="s">
        <v>61</v>
      </c>
      <c r="C17" s="22">
        <v>1.0</v>
      </c>
      <c r="D17" s="41">
        <v>110.0</v>
      </c>
      <c r="E17" s="27">
        <v>180.0</v>
      </c>
      <c r="F17" s="27" t="s">
        <v>62</v>
      </c>
      <c r="G17" s="30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32" t="s">
        <v>33</v>
      </c>
      <c r="B18" s="32" t="s">
        <v>52</v>
      </c>
      <c r="C18" s="33">
        <v>1.0</v>
      </c>
      <c r="D18" s="34">
        <v>620.0</v>
      </c>
      <c r="E18" s="35">
        <v>940.0</v>
      </c>
      <c r="F18" s="27" t="s">
        <v>46</v>
      </c>
      <c r="G18" s="30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6.5" customHeight="1">
      <c r="A19" s="32" t="s">
        <v>33</v>
      </c>
      <c r="B19" s="32" t="s">
        <v>40</v>
      </c>
      <c r="C19" s="22">
        <v>1.0</v>
      </c>
      <c r="D19" s="41">
        <v>620.0</v>
      </c>
      <c r="E19" s="27">
        <v>940.0</v>
      </c>
      <c r="F19" s="27" t="s">
        <v>46</v>
      </c>
      <c r="G19" s="30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6.5" customHeight="1">
      <c r="A20" s="32" t="s">
        <v>33</v>
      </c>
      <c r="B20" s="50" t="s">
        <v>63</v>
      </c>
      <c r="C20" s="33">
        <v>1.0</v>
      </c>
      <c r="D20" s="34">
        <v>620.0</v>
      </c>
      <c r="E20" s="35">
        <v>1450.0</v>
      </c>
      <c r="F20" s="27" t="s">
        <v>64</v>
      </c>
      <c r="G20" s="30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6.5" customHeight="1">
      <c r="A21" s="32" t="s">
        <v>33</v>
      </c>
      <c r="B21" s="38" t="s">
        <v>63</v>
      </c>
      <c r="C21" s="22">
        <v>1.0</v>
      </c>
      <c r="D21" s="41">
        <v>620.0</v>
      </c>
      <c r="E21" s="27">
        <v>1450.0</v>
      </c>
      <c r="F21" s="27" t="s">
        <v>64</v>
      </c>
      <c r="G21" s="30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6.5" customHeight="1">
      <c r="A22" s="50" t="s">
        <v>65</v>
      </c>
      <c r="B22" s="50" t="s">
        <v>66</v>
      </c>
      <c r="C22" s="33">
        <v>1.0</v>
      </c>
      <c r="D22" s="34">
        <v>580.0</v>
      </c>
      <c r="E22" s="35">
        <v>1100.0</v>
      </c>
      <c r="F22" s="27" t="s">
        <v>67</v>
      </c>
      <c r="G22" s="3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6.5" customHeight="1">
      <c r="A23" s="38" t="s">
        <v>65</v>
      </c>
      <c r="B23" s="16" t="s">
        <v>66</v>
      </c>
      <c r="C23" s="22">
        <v>1.0</v>
      </c>
      <c r="D23" s="41">
        <v>580.0</v>
      </c>
      <c r="E23" s="27">
        <v>780.0</v>
      </c>
      <c r="F23" s="27" t="s">
        <v>68</v>
      </c>
      <c r="G23" s="30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6.5" customHeight="1">
      <c r="A24" s="32" t="s">
        <v>65</v>
      </c>
      <c r="B24" s="50" t="s">
        <v>66</v>
      </c>
      <c r="C24" s="33">
        <v>1.0</v>
      </c>
      <c r="D24" s="34">
        <v>580.0</v>
      </c>
      <c r="E24" s="35">
        <v>780.0</v>
      </c>
      <c r="F24" s="27" t="s">
        <v>68</v>
      </c>
      <c r="G24" s="30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6.5" customHeight="1">
      <c r="A25" s="38" t="s">
        <v>33</v>
      </c>
      <c r="B25" s="16" t="s">
        <v>40</v>
      </c>
      <c r="C25" s="22">
        <v>1.0</v>
      </c>
      <c r="D25" s="41">
        <v>620.0</v>
      </c>
      <c r="E25" s="27">
        <v>900.0</v>
      </c>
      <c r="F25" s="27" t="s">
        <v>69</v>
      </c>
      <c r="G25" s="30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32" t="s">
        <v>33</v>
      </c>
      <c r="B26" s="32" t="s">
        <v>63</v>
      </c>
      <c r="C26" s="33">
        <v>1.0</v>
      </c>
      <c r="D26" s="34">
        <v>620.0</v>
      </c>
      <c r="E26" s="35">
        <v>1300.0</v>
      </c>
      <c r="F26" s="27" t="s">
        <v>69</v>
      </c>
      <c r="G26" s="30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6.5" customHeight="1">
      <c r="A27" s="38" t="s">
        <v>65</v>
      </c>
      <c r="B27" s="38" t="s">
        <v>66</v>
      </c>
      <c r="C27" s="22">
        <v>8.0</v>
      </c>
      <c r="D27" s="41">
        <v>4640.0</v>
      </c>
      <c r="E27" s="27">
        <v>8800.0</v>
      </c>
      <c r="F27" s="27" t="s">
        <v>67</v>
      </c>
      <c r="G27" s="30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6.5" customHeight="1">
      <c r="A28" s="32" t="s">
        <v>70</v>
      </c>
      <c r="B28" s="32" t="s">
        <v>40</v>
      </c>
      <c r="C28" s="33">
        <v>1.0</v>
      </c>
      <c r="D28" s="34">
        <v>620.0</v>
      </c>
      <c r="E28" s="35">
        <v>1600.0</v>
      </c>
      <c r="F28" s="27" t="s">
        <v>71</v>
      </c>
      <c r="G28" s="30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6.5" customHeight="1">
      <c r="A29" s="16" t="s">
        <v>50</v>
      </c>
      <c r="B29" s="16" t="s">
        <v>40</v>
      </c>
      <c r="C29" s="22">
        <v>1.0</v>
      </c>
      <c r="D29" s="41">
        <v>155.0</v>
      </c>
      <c r="E29" s="27">
        <v>300.0</v>
      </c>
      <c r="F29" s="27" t="s">
        <v>72</v>
      </c>
      <c r="G29" s="30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6.5" customHeight="1">
      <c r="A30" s="50" t="s">
        <v>50</v>
      </c>
      <c r="B30" s="50" t="s">
        <v>40</v>
      </c>
      <c r="C30" s="33">
        <v>2.0</v>
      </c>
      <c r="D30" s="34">
        <v>310.0</v>
      </c>
      <c r="E30" s="35">
        <v>800.0</v>
      </c>
      <c r="F30" s="27" t="s">
        <v>74</v>
      </c>
      <c r="G30" s="30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6.5" customHeight="1">
      <c r="A31" s="16" t="s">
        <v>75</v>
      </c>
      <c r="B31" s="16" t="s">
        <v>40</v>
      </c>
      <c r="C31" s="22">
        <v>1.0</v>
      </c>
      <c r="D31" s="41">
        <v>620.0</v>
      </c>
      <c r="E31" s="27">
        <v>850.0</v>
      </c>
      <c r="F31" s="27" t="s">
        <v>46</v>
      </c>
      <c r="G31" s="30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6.5" customHeight="1">
      <c r="A32" s="50" t="s">
        <v>33</v>
      </c>
      <c r="B32" s="50" t="s">
        <v>63</v>
      </c>
      <c r="C32" s="33">
        <v>1.0</v>
      </c>
      <c r="D32" s="34">
        <v>620.0</v>
      </c>
      <c r="E32" s="35">
        <v>800.0</v>
      </c>
      <c r="F32" s="27" t="s">
        <v>76</v>
      </c>
      <c r="G32" s="30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6.5" customHeight="1">
      <c r="A33" s="38" t="s">
        <v>33</v>
      </c>
      <c r="B33" s="38" t="s">
        <v>52</v>
      </c>
      <c r="C33" s="22">
        <v>1.0</v>
      </c>
      <c r="D33" s="41">
        <v>620.0</v>
      </c>
      <c r="E33" s="27">
        <v>1000.0</v>
      </c>
      <c r="F33" s="27" t="s">
        <v>77</v>
      </c>
      <c r="G33" s="30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32" t="s">
        <v>78</v>
      </c>
      <c r="B34" s="32" t="s">
        <v>79</v>
      </c>
      <c r="C34" s="33">
        <v>1.0</v>
      </c>
      <c r="D34" s="34">
        <v>300.0</v>
      </c>
      <c r="E34" s="35">
        <v>450.0</v>
      </c>
      <c r="F34" s="27" t="s">
        <v>80</v>
      </c>
      <c r="G34" s="30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6.5" customHeight="1">
      <c r="A35" s="38" t="s">
        <v>50</v>
      </c>
      <c r="B35" s="38" t="s">
        <v>40</v>
      </c>
      <c r="C35" s="22">
        <v>1.0</v>
      </c>
      <c r="D35" s="41">
        <v>155.0</v>
      </c>
      <c r="E35" s="27">
        <v>300.0</v>
      </c>
      <c r="F35" s="27" t="s">
        <v>82</v>
      </c>
      <c r="G35" s="30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6.5" customHeight="1">
      <c r="A36" s="32" t="s">
        <v>65</v>
      </c>
      <c r="B36" s="32" t="s">
        <v>66</v>
      </c>
      <c r="C36" s="33">
        <v>10.0</v>
      </c>
      <c r="D36" s="34">
        <v>6300.0</v>
      </c>
      <c r="E36" s="35">
        <v>9000.0</v>
      </c>
      <c r="F36" s="27" t="s">
        <v>84</v>
      </c>
      <c r="G36" s="30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6.5" customHeight="1">
      <c r="A37" s="38" t="s">
        <v>85</v>
      </c>
      <c r="B37" s="38" t="s">
        <v>40</v>
      </c>
      <c r="C37" s="22">
        <v>2.0</v>
      </c>
      <c r="D37" s="41">
        <v>1240.0</v>
      </c>
      <c r="E37" s="27">
        <v>2000.0</v>
      </c>
      <c r="F37" s="27" t="s">
        <v>86</v>
      </c>
      <c r="G37" s="30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6.5" customHeight="1">
      <c r="A38" s="50" t="s">
        <v>33</v>
      </c>
      <c r="B38" s="50" t="s">
        <v>40</v>
      </c>
      <c r="C38" s="33">
        <v>1.0</v>
      </c>
      <c r="D38" s="34">
        <v>620.0</v>
      </c>
      <c r="E38" s="35">
        <v>900.0</v>
      </c>
      <c r="F38" s="27" t="s">
        <v>87</v>
      </c>
      <c r="G38" s="30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6.5" customHeight="1">
      <c r="A39" s="16" t="s">
        <v>33</v>
      </c>
      <c r="B39" s="16" t="s">
        <v>52</v>
      </c>
      <c r="C39" s="22">
        <v>2.0</v>
      </c>
      <c r="D39" s="41">
        <v>1240.0</v>
      </c>
      <c r="E39" s="27">
        <v>1680.0</v>
      </c>
      <c r="F39" s="27" t="s">
        <v>46</v>
      </c>
      <c r="G39" s="30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6.5" customHeight="1">
      <c r="A40" s="97"/>
      <c r="B40" s="97"/>
      <c r="C40" s="98"/>
      <c r="D40" s="99"/>
      <c r="E40" s="100"/>
      <c r="F40" s="102">
        <f>SUM(D2:D43)</f>
        <v>29031</v>
      </c>
      <c r="G40" s="103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6.5" customHeight="1">
      <c r="A41" s="104"/>
      <c r="B41" s="104"/>
      <c r="C41" s="105"/>
      <c r="D41" s="106"/>
      <c r="E41" s="107"/>
      <c r="F41" s="69">
        <f>SUM(E2:E43)</f>
        <v>48750</v>
      </c>
      <c r="G41" s="10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97"/>
      <c r="B42" s="97"/>
      <c r="C42" s="98"/>
      <c r="D42" s="99"/>
      <c r="E42" s="100"/>
      <c r="F42" s="111" t="s">
        <v>88</v>
      </c>
      <c r="G42" s="72">
        <f t="array" ref="G42">F41-F40</f>
        <v>19719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6.5" customHeight="1">
      <c r="A43" s="118"/>
      <c r="B43" s="118"/>
      <c r="C43" s="105"/>
      <c r="D43" s="106"/>
      <c r="E43" s="107"/>
      <c r="F43" s="119" t="s">
        <v>92</v>
      </c>
      <c r="G43" s="121">
        <f>SUM(C2:C43)</f>
        <v>58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6.5" customHeight="1">
      <c r="A44" s="38"/>
      <c r="B44" s="38"/>
      <c r="C44" s="22"/>
      <c r="D44" s="41"/>
      <c r="E44" s="27"/>
      <c r="F44" s="122"/>
      <c r="G44" s="12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38" t="s">
        <v>33</v>
      </c>
      <c r="B45" s="38" t="s">
        <v>40</v>
      </c>
      <c r="C45" s="22">
        <v>1.0</v>
      </c>
      <c r="D45" s="41">
        <v>620.0</v>
      </c>
      <c r="E45" s="27">
        <v>988.0</v>
      </c>
      <c r="F45" s="88" t="s">
        <v>93</v>
      </c>
      <c r="G45" s="12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32" t="s">
        <v>33</v>
      </c>
      <c r="B46" s="32" t="s">
        <v>52</v>
      </c>
      <c r="C46" s="33">
        <v>2.0</v>
      </c>
      <c r="D46" s="34">
        <v>1240.0</v>
      </c>
      <c r="E46" s="35">
        <v>1680.0</v>
      </c>
      <c r="F46" s="88" t="s">
        <v>46</v>
      </c>
      <c r="G46" s="30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38" t="s">
        <v>32</v>
      </c>
      <c r="B47" s="38" t="s">
        <v>94</v>
      </c>
      <c r="C47" s="22">
        <v>1.0</v>
      </c>
      <c r="D47" s="41">
        <v>580.0</v>
      </c>
      <c r="E47" s="27">
        <v>1200.0</v>
      </c>
      <c r="F47" s="122" t="s">
        <v>95</v>
      </c>
      <c r="G47" s="30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32" t="s">
        <v>32</v>
      </c>
      <c r="B48" s="32" t="s">
        <v>94</v>
      </c>
      <c r="C48" s="33">
        <v>1.0</v>
      </c>
      <c r="D48" s="34">
        <v>580.0</v>
      </c>
      <c r="E48" s="35">
        <v>1400.0</v>
      </c>
      <c r="F48" s="122" t="s">
        <v>97</v>
      </c>
      <c r="G48" s="30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6.5" customHeight="1">
      <c r="A49" s="16" t="s">
        <v>33</v>
      </c>
      <c r="B49" s="16" t="s">
        <v>98</v>
      </c>
      <c r="C49" s="22">
        <v>1.0</v>
      </c>
      <c r="D49" s="41">
        <v>620.0</v>
      </c>
      <c r="E49" s="27">
        <v>800.0</v>
      </c>
      <c r="F49" s="122" t="s">
        <v>100</v>
      </c>
      <c r="G49" s="30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32" t="s">
        <v>58</v>
      </c>
      <c r="B50" s="32" t="s">
        <v>94</v>
      </c>
      <c r="C50" s="33">
        <v>1.0</v>
      </c>
      <c r="D50" s="34">
        <v>580.0</v>
      </c>
      <c r="E50" s="35">
        <v>800.0</v>
      </c>
      <c r="F50" s="122" t="s">
        <v>102</v>
      </c>
      <c r="G50" s="30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6.5" customHeight="1">
      <c r="A51" s="38" t="s">
        <v>50</v>
      </c>
      <c r="B51" s="38" t="s">
        <v>40</v>
      </c>
      <c r="C51" s="22">
        <v>1.0</v>
      </c>
      <c r="D51" s="41">
        <v>155.0</v>
      </c>
      <c r="E51" s="27">
        <v>400.0</v>
      </c>
      <c r="F51" s="122" t="s">
        <v>103</v>
      </c>
      <c r="G51" s="30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6.5" customHeight="1">
      <c r="A52" s="32" t="s">
        <v>50</v>
      </c>
      <c r="B52" s="32" t="s">
        <v>40</v>
      </c>
      <c r="C52" s="33">
        <v>1.0</v>
      </c>
      <c r="D52" s="34">
        <v>155.0</v>
      </c>
      <c r="E52" s="35">
        <v>300.0</v>
      </c>
      <c r="F52" s="122" t="s">
        <v>104</v>
      </c>
      <c r="G52" s="30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6.5" customHeight="1">
      <c r="A53" s="38" t="s">
        <v>50</v>
      </c>
      <c r="B53" s="38" t="s">
        <v>40</v>
      </c>
      <c r="C53" s="22">
        <v>1.0</v>
      </c>
      <c r="D53" s="41">
        <v>155.0</v>
      </c>
      <c r="E53" s="27">
        <v>400.0</v>
      </c>
      <c r="F53" s="122" t="s">
        <v>105</v>
      </c>
      <c r="G53" s="30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6.5" customHeight="1">
      <c r="A54" s="32" t="s">
        <v>33</v>
      </c>
      <c r="B54" s="32" t="s">
        <v>40</v>
      </c>
      <c r="C54" s="33">
        <v>1.0</v>
      </c>
      <c r="D54" s="34">
        <v>620.0</v>
      </c>
      <c r="E54" s="35">
        <v>900.0</v>
      </c>
      <c r="F54" s="122" t="s">
        <v>106</v>
      </c>
      <c r="G54" s="30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6.5" customHeight="1">
      <c r="A55" s="38" t="s">
        <v>65</v>
      </c>
      <c r="B55" s="38" t="s">
        <v>66</v>
      </c>
      <c r="C55" s="22">
        <v>1.0</v>
      </c>
      <c r="D55" s="41">
        <v>630.0</v>
      </c>
      <c r="E55" s="27">
        <v>1000.0</v>
      </c>
      <c r="F55" s="122" t="s">
        <v>107</v>
      </c>
      <c r="G55" s="30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6.5" customHeight="1">
      <c r="A56" s="118"/>
      <c r="B56" s="118"/>
      <c r="C56" s="105"/>
      <c r="D56" s="106"/>
      <c r="E56" s="107"/>
      <c r="F56" s="133"/>
      <c r="G56" s="30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6.5" customHeight="1">
      <c r="A57" s="97"/>
      <c r="B57" s="97"/>
      <c r="C57" s="98"/>
      <c r="D57" s="99"/>
      <c r="E57" s="100"/>
      <c r="F57" s="133"/>
      <c r="G57" s="30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118"/>
      <c r="B58" s="118"/>
      <c r="C58" s="105"/>
      <c r="D58" s="106"/>
      <c r="E58" s="107"/>
      <c r="F58" s="133"/>
      <c r="G58" s="30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6.5" customHeight="1">
      <c r="A59" s="97"/>
      <c r="B59" s="97"/>
      <c r="C59" s="98"/>
      <c r="D59" s="99"/>
      <c r="E59" s="100"/>
      <c r="F59" s="133"/>
      <c r="G59" s="30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6.5" customHeight="1">
      <c r="A60" s="104"/>
      <c r="B60" s="104"/>
      <c r="C60" s="105"/>
      <c r="D60" s="106"/>
      <c r="E60" s="107"/>
      <c r="F60" s="133"/>
      <c r="G60" s="30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6.5" customHeight="1">
      <c r="A61" s="97"/>
      <c r="B61" s="97"/>
      <c r="C61" s="98"/>
      <c r="D61" s="99"/>
      <c r="E61" s="100"/>
      <c r="F61" s="133"/>
      <c r="G61" s="30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6.5" customHeight="1">
      <c r="A62" s="104"/>
      <c r="B62" s="104"/>
      <c r="C62" s="105"/>
      <c r="D62" s="106"/>
      <c r="E62" s="107"/>
      <c r="F62" s="133"/>
      <c r="G62" s="30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6.5" customHeight="1">
      <c r="A63" s="97"/>
      <c r="B63" s="97"/>
      <c r="C63" s="98"/>
      <c r="D63" s="99"/>
      <c r="E63" s="100"/>
      <c r="F63" s="133"/>
      <c r="G63" s="30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6.5" customHeight="1">
      <c r="A64" s="104"/>
      <c r="B64" s="104"/>
      <c r="C64" s="105"/>
      <c r="D64" s="106"/>
      <c r="E64" s="107"/>
      <c r="F64" s="128"/>
      <c r="G64" s="30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6.5" customHeight="1">
      <c r="A65" s="97"/>
      <c r="B65" s="97"/>
      <c r="C65" s="98"/>
      <c r="D65" s="99"/>
      <c r="E65" s="100"/>
      <c r="F65" s="128"/>
      <c r="G65" s="30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104"/>
      <c r="B66" s="104"/>
      <c r="C66" s="105"/>
      <c r="D66" s="106"/>
      <c r="E66" s="107"/>
      <c r="F66" s="128"/>
      <c r="G66" s="30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6.5" customHeight="1">
      <c r="A67" s="97"/>
      <c r="B67" s="97"/>
      <c r="C67" s="98"/>
      <c r="D67" s="99"/>
      <c r="E67" s="100"/>
      <c r="F67" s="128"/>
      <c r="G67" s="30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6.5" customHeight="1">
      <c r="A68" s="104"/>
      <c r="B68" s="104"/>
      <c r="C68" s="105"/>
      <c r="D68" s="106"/>
      <c r="E68" s="107"/>
      <c r="F68" s="128"/>
      <c r="G68" s="30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6.5" customHeight="1">
      <c r="A69" s="97"/>
      <c r="B69" s="97"/>
      <c r="C69" s="98"/>
      <c r="D69" s="99"/>
      <c r="E69" s="100"/>
      <c r="F69" s="128"/>
      <c r="G69" s="30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6.5" customHeight="1">
      <c r="A70" s="104"/>
      <c r="B70" s="104"/>
      <c r="C70" s="105"/>
      <c r="D70" s="106"/>
      <c r="E70" s="107"/>
      <c r="F70" s="128"/>
      <c r="G70" s="30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6.5" customHeight="1">
      <c r="A71" s="97"/>
      <c r="B71" s="97"/>
      <c r="C71" s="98"/>
      <c r="D71" s="99"/>
      <c r="E71" s="100"/>
      <c r="F71" s="128"/>
      <c r="G71" s="30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6.5" customHeight="1">
      <c r="A72" s="104"/>
      <c r="B72" s="104"/>
      <c r="C72" s="105"/>
      <c r="D72" s="106"/>
      <c r="E72" s="107"/>
      <c r="F72" s="128"/>
      <c r="G72" s="30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6.5" customHeight="1">
      <c r="A73" s="97"/>
      <c r="B73" s="97"/>
      <c r="C73" s="98"/>
      <c r="D73" s="99"/>
      <c r="E73" s="100"/>
      <c r="F73" s="128"/>
      <c r="G73" s="30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118"/>
      <c r="B74" s="118"/>
      <c r="C74" s="105"/>
      <c r="D74" s="106"/>
      <c r="E74" s="107"/>
      <c r="F74" s="128"/>
      <c r="G74" s="30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6.5" customHeight="1">
      <c r="A75" s="142"/>
      <c r="B75" s="97"/>
      <c r="C75" s="98"/>
      <c r="D75" s="99"/>
      <c r="E75" s="100"/>
      <c r="F75" s="128"/>
      <c r="G75" s="30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6.5" customHeight="1">
      <c r="A76" s="118"/>
      <c r="B76" s="118"/>
      <c r="C76" s="105"/>
      <c r="D76" s="106"/>
      <c r="E76" s="107"/>
      <c r="F76" s="128"/>
      <c r="G76" s="30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6.5" customHeight="1">
      <c r="A77" s="97"/>
      <c r="B77" s="97"/>
      <c r="C77" s="98"/>
      <c r="D77" s="99"/>
      <c r="E77" s="100"/>
      <c r="F77" s="128"/>
      <c r="G77" s="30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6.5" customHeight="1">
      <c r="A78" s="104"/>
      <c r="B78" s="104"/>
      <c r="C78" s="105"/>
      <c r="D78" s="106"/>
      <c r="E78" s="107"/>
      <c r="F78" s="128"/>
      <c r="G78" s="30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6.5" customHeight="1">
      <c r="A79" s="97"/>
      <c r="B79" s="97"/>
      <c r="C79" s="98"/>
      <c r="D79" s="99"/>
      <c r="E79" s="100"/>
      <c r="F79" s="128"/>
      <c r="G79" s="30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6.5" customHeight="1">
      <c r="A80" s="104"/>
      <c r="B80" s="104"/>
      <c r="C80" s="105"/>
      <c r="D80" s="106"/>
      <c r="E80" s="107"/>
      <c r="F80" s="128"/>
      <c r="G80" s="30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6.5" customHeight="1">
      <c r="A81" s="97"/>
      <c r="B81" s="97"/>
      <c r="C81" s="98"/>
      <c r="D81" s="99"/>
      <c r="E81" s="100"/>
      <c r="F81" s="128"/>
      <c r="G81" s="30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6.5" customHeight="1">
      <c r="A82" s="118"/>
      <c r="B82" s="118"/>
      <c r="C82" s="105"/>
      <c r="D82" s="106"/>
      <c r="E82" s="107"/>
      <c r="F82" s="128"/>
      <c r="G82" s="30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6.5" customHeight="1">
      <c r="A83" s="97"/>
      <c r="B83" s="97"/>
      <c r="C83" s="98"/>
      <c r="D83" s="99"/>
      <c r="E83" s="100"/>
      <c r="F83" s="128"/>
      <c r="G83" s="30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6.5" customHeight="1">
      <c r="A84" s="104"/>
      <c r="B84" s="104"/>
      <c r="C84" s="105"/>
      <c r="D84" s="106"/>
      <c r="E84" s="107"/>
      <c r="F84" s="128"/>
      <c r="G84" s="30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6.5" customHeight="1">
      <c r="A85" s="97"/>
      <c r="B85" s="97"/>
      <c r="C85" s="98"/>
      <c r="D85" s="99"/>
      <c r="E85" s="100"/>
      <c r="F85" s="128"/>
      <c r="G85" s="30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6.5" customHeight="1">
      <c r="A86" s="104"/>
      <c r="B86" s="104"/>
      <c r="C86" s="105"/>
      <c r="D86" s="106"/>
      <c r="E86" s="107"/>
      <c r="F86" s="128"/>
      <c r="G86" s="30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6.5" customHeight="1">
      <c r="A87" s="97"/>
      <c r="B87" s="97"/>
      <c r="C87" s="98"/>
      <c r="D87" s="99"/>
      <c r="E87" s="100"/>
      <c r="F87" s="128"/>
      <c r="G87" s="30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6.5" customHeight="1">
      <c r="A88" s="104"/>
      <c r="B88" s="104"/>
      <c r="C88" s="105"/>
      <c r="D88" s="106"/>
      <c r="E88" s="107"/>
      <c r="F88" s="146"/>
      <c r="G88" s="30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6.5" customHeight="1">
      <c r="A89" s="97"/>
      <c r="B89" s="97"/>
      <c r="C89" s="98"/>
      <c r="D89" s="99"/>
      <c r="E89" s="100"/>
      <c r="F89" s="102">
        <f t="array" ref="F89">SUM(D45:D92)</f>
        <v>5935</v>
      </c>
      <c r="G89" s="103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6.5" customHeight="1">
      <c r="A90" s="104"/>
      <c r="B90" s="104"/>
      <c r="C90" s="105"/>
      <c r="D90" s="106"/>
      <c r="E90" s="107"/>
      <c r="F90" s="69">
        <f t="array" ref="F90">SUM(E45:E92)</f>
        <v>9868</v>
      </c>
      <c r="G90" s="10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6.5" customHeight="1">
      <c r="A91" s="142"/>
      <c r="B91" s="142"/>
      <c r="C91" s="98"/>
      <c r="D91" s="99"/>
      <c r="E91" s="100"/>
      <c r="F91" s="111" t="s">
        <v>121</v>
      </c>
      <c r="G91" s="72">
        <f t="array" ref="G91">F90-F89</f>
        <v>3933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6.5" customHeight="1">
      <c r="A92" s="118"/>
      <c r="B92" s="118"/>
      <c r="C92" s="105"/>
      <c r="D92" s="106"/>
      <c r="E92" s="107"/>
      <c r="F92" s="119" t="s">
        <v>124</v>
      </c>
      <c r="G92" s="149">
        <f t="array" ref="G92">SUM(C45:C92)</f>
        <v>12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6.5" customHeight="1">
      <c r="A93" s="97"/>
      <c r="B93" s="97"/>
      <c r="C93" s="98"/>
      <c r="D93" s="99"/>
      <c r="E93" s="100"/>
      <c r="F93" s="133"/>
      <c r="G93" s="12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6.5" customHeight="1">
      <c r="A94" s="104"/>
      <c r="B94" s="104"/>
      <c r="C94" s="105"/>
      <c r="D94" s="106"/>
      <c r="E94" s="107"/>
      <c r="F94" s="128"/>
      <c r="G94" s="30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6.5" customHeight="1">
      <c r="A95" s="97"/>
      <c r="B95" s="97"/>
      <c r="C95" s="98"/>
      <c r="D95" s="99"/>
      <c r="E95" s="100"/>
      <c r="F95" s="128"/>
      <c r="G95" s="30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6.5" customHeight="1">
      <c r="A96" s="104"/>
      <c r="B96" s="104"/>
      <c r="C96" s="105"/>
      <c r="D96" s="106"/>
      <c r="E96" s="107"/>
      <c r="F96" s="128"/>
      <c r="G96" s="30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6.5" customHeight="1">
      <c r="A97" s="97"/>
      <c r="B97" s="97"/>
      <c r="C97" s="98"/>
      <c r="D97" s="99"/>
      <c r="E97" s="100"/>
      <c r="F97" s="128"/>
      <c r="G97" s="30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6.5" customHeight="1">
      <c r="A98" s="118"/>
      <c r="B98" s="118"/>
      <c r="C98" s="105"/>
      <c r="D98" s="106"/>
      <c r="E98" s="107"/>
      <c r="F98" s="128"/>
      <c r="G98" s="30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6.5" customHeight="1">
      <c r="A99" s="97"/>
      <c r="B99" s="97"/>
      <c r="C99" s="98"/>
      <c r="D99" s="99"/>
      <c r="E99" s="100"/>
      <c r="F99" s="128"/>
      <c r="G99" s="30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6.5" customHeight="1">
      <c r="A100" s="104"/>
      <c r="B100" s="104"/>
      <c r="C100" s="105"/>
      <c r="D100" s="106"/>
      <c r="E100" s="107"/>
      <c r="F100" s="128"/>
      <c r="G100" s="30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6.5" customHeight="1">
      <c r="A101" s="97"/>
      <c r="B101" s="97"/>
      <c r="C101" s="98"/>
      <c r="D101" s="99"/>
      <c r="E101" s="100"/>
      <c r="F101" s="128"/>
      <c r="G101" s="30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6.5" customHeight="1">
      <c r="A102" s="104"/>
      <c r="B102" s="104"/>
      <c r="C102" s="105"/>
      <c r="D102" s="106"/>
      <c r="E102" s="107"/>
      <c r="F102" s="128"/>
      <c r="G102" s="30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6.5" customHeight="1">
      <c r="A103" s="142"/>
      <c r="B103" s="142"/>
      <c r="C103" s="98"/>
      <c r="D103" s="99"/>
      <c r="E103" s="100"/>
      <c r="F103" s="128"/>
      <c r="G103" s="30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6.5" customHeight="1">
      <c r="A104" s="104"/>
      <c r="B104" s="104"/>
      <c r="C104" s="105"/>
      <c r="D104" s="106"/>
      <c r="E104" s="107"/>
      <c r="F104" s="128"/>
      <c r="G104" s="30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6.5" customHeight="1">
      <c r="A105" s="97"/>
      <c r="B105" s="97"/>
      <c r="C105" s="98"/>
      <c r="D105" s="99"/>
      <c r="E105" s="100"/>
      <c r="F105" s="128"/>
      <c r="G105" s="30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6.5" customHeight="1">
      <c r="A106" s="104"/>
      <c r="B106" s="104"/>
      <c r="C106" s="105"/>
      <c r="D106" s="106"/>
      <c r="E106" s="107"/>
      <c r="F106" s="128"/>
      <c r="G106" s="30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6.5" customHeight="1">
      <c r="A107" s="97"/>
      <c r="B107" s="97"/>
      <c r="C107" s="98"/>
      <c r="D107" s="99"/>
      <c r="E107" s="100"/>
      <c r="F107" s="128"/>
      <c r="G107" s="30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6.5" customHeight="1">
      <c r="A108" s="118"/>
      <c r="B108" s="118"/>
      <c r="C108" s="105"/>
      <c r="D108" s="106"/>
      <c r="E108" s="107"/>
      <c r="F108" s="128"/>
      <c r="G108" s="30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6.5" customHeight="1">
      <c r="A109" s="97"/>
      <c r="B109" s="97"/>
      <c r="C109" s="98"/>
      <c r="D109" s="99"/>
      <c r="E109" s="100"/>
      <c r="F109" s="128"/>
      <c r="G109" s="30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6.5" customHeight="1">
      <c r="A110" s="104"/>
      <c r="B110" s="104"/>
      <c r="C110" s="105"/>
      <c r="D110" s="106"/>
      <c r="E110" s="107"/>
      <c r="F110" s="128"/>
      <c r="G110" s="30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6.5" customHeight="1">
      <c r="A111" s="97"/>
      <c r="B111" s="97"/>
      <c r="C111" s="98"/>
      <c r="D111" s="99"/>
      <c r="E111" s="100"/>
      <c r="F111" s="128"/>
      <c r="G111" s="30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6.5" customHeight="1">
      <c r="A112" s="118"/>
      <c r="B112" s="118"/>
      <c r="C112" s="105"/>
      <c r="D112" s="106"/>
      <c r="E112" s="107"/>
      <c r="F112" s="128"/>
      <c r="G112" s="30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6.5" customHeight="1">
      <c r="A113" s="97"/>
      <c r="B113" s="97"/>
      <c r="C113" s="98"/>
      <c r="D113" s="99"/>
      <c r="E113" s="100"/>
      <c r="F113" s="128"/>
      <c r="G113" s="30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6.5" customHeight="1">
      <c r="A114" s="104"/>
      <c r="B114" s="104"/>
      <c r="C114" s="105"/>
      <c r="D114" s="106"/>
      <c r="E114" s="107"/>
      <c r="F114" s="128"/>
      <c r="G114" s="30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6.5" customHeight="1">
      <c r="A115" s="97"/>
      <c r="B115" s="97"/>
      <c r="C115" s="98"/>
      <c r="D115" s="99"/>
      <c r="E115" s="100"/>
      <c r="F115" s="128"/>
      <c r="G115" s="30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6.5" customHeight="1">
      <c r="A116" s="104"/>
      <c r="B116" s="104"/>
      <c r="C116" s="105"/>
      <c r="D116" s="106"/>
      <c r="E116" s="107"/>
      <c r="F116" s="128"/>
      <c r="G116" s="30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6.5" customHeight="1">
      <c r="A117" s="97"/>
      <c r="B117" s="97"/>
      <c r="C117" s="98"/>
      <c r="D117" s="99"/>
      <c r="E117" s="100"/>
      <c r="F117" s="128"/>
      <c r="G117" s="30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6.5" customHeight="1">
      <c r="A118" s="104"/>
      <c r="B118" s="104"/>
      <c r="C118" s="105"/>
      <c r="D118" s="106"/>
      <c r="E118" s="107"/>
      <c r="F118" s="128"/>
      <c r="G118" s="30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6.5" customHeight="1">
      <c r="A119" s="97"/>
      <c r="B119" s="97"/>
      <c r="C119" s="98"/>
      <c r="D119" s="99"/>
      <c r="E119" s="100"/>
      <c r="F119" s="128"/>
      <c r="G119" s="30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6.5" customHeight="1">
      <c r="A120" s="104"/>
      <c r="B120" s="104"/>
      <c r="C120" s="105"/>
      <c r="D120" s="106"/>
      <c r="E120" s="107"/>
      <c r="F120" s="128"/>
      <c r="G120" s="30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6.5" customHeight="1">
      <c r="A121" s="97"/>
      <c r="B121" s="97"/>
      <c r="C121" s="98"/>
      <c r="D121" s="99"/>
      <c r="E121" s="100"/>
      <c r="F121" s="128"/>
      <c r="G121" s="30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6.5" customHeight="1">
      <c r="A122" s="104"/>
      <c r="B122" s="104"/>
      <c r="C122" s="105"/>
      <c r="D122" s="106"/>
      <c r="E122" s="107"/>
      <c r="F122" s="128"/>
      <c r="G122" s="30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6.5" customHeight="1">
      <c r="A123" s="97"/>
      <c r="B123" s="97"/>
      <c r="C123" s="98"/>
      <c r="D123" s="99"/>
      <c r="E123" s="100"/>
      <c r="F123" s="128"/>
      <c r="G123" s="30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6.5" customHeight="1">
      <c r="A124" s="118"/>
      <c r="B124" s="118"/>
      <c r="C124" s="105"/>
      <c r="D124" s="106"/>
      <c r="E124" s="107"/>
      <c r="F124" s="128"/>
      <c r="G124" s="30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6.5" customHeight="1">
      <c r="A125" s="97"/>
      <c r="B125" s="97"/>
      <c r="C125" s="98"/>
      <c r="D125" s="99"/>
      <c r="E125" s="100"/>
      <c r="F125" s="128"/>
      <c r="G125" s="30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6.5" customHeight="1">
      <c r="A126" s="118"/>
      <c r="B126" s="118"/>
      <c r="C126" s="105"/>
      <c r="D126" s="106"/>
      <c r="E126" s="107"/>
      <c r="F126" s="128"/>
      <c r="G126" s="30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6.5" customHeight="1">
      <c r="A127" s="97"/>
      <c r="B127" s="97"/>
      <c r="C127" s="98"/>
      <c r="D127" s="99"/>
      <c r="E127" s="100"/>
      <c r="F127" s="128"/>
      <c r="G127" s="30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6.5" customHeight="1">
      <c r="A128" s="118"/>
      <c r="B128" s="118"/>
      <c r="C128" s="105"/>
      <c r="D128" s="106"/>
      <c r="E128" s="107"/>
      <c r="F128" s="128"/>
      <c r="G128" s="30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6.5" customHeight="1">
      <c r="A129" s="97"/>
      <c r="B129" s="97"/>
      <c r="C129" s="98"/>
      <c r="D129" s="99"/>
      <c r="E129" s="100"/>
      <c r="F129" s="128"/>
      <c r="G129" s="30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6.5" customHeight="1">
      <c r="A130" s="104"/>
      <c r="B130" s="104"/>
      <c r="C130" s="105"/>
      <c r="D130" s="106"/>
      <c r="E130" s="107"/>
      <c r="F130" s="128"/>
      <c r="G130" s="30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6.5" customHeight="1">
      <c r="A131" s="97"/>
      <c r="B131" s="97"/>
      <c r="C131" s="98"/>
      <c r="D131" s="99"/>
      <c r="E131" s="100"/>
      <c r="F131" s="128"/>
      <c r="G131" s="30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6.5" customHeight="1">
      <c r="A132" s="104"/>
      <c r="B132" s="104"/>
      <c r="C132" s="105"/>
      <c r="D132" s="106"/>
      <c r="E132" s="107"/>
      <c r="F132" s="128"/>
      <c r="G132" s="30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6.5" customHeight="1">
      <c r="A133" s="97"/>
      <c r="B133" s="97"/>
      <c r="C133" s="98"/>
      <c r="D133" s="99"/>
      <c r="E133" s="100"/>
      <c r="F133" s="128"/>
      <c r="G133" s="30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6.5" customHeight="1">
      <c r="A134" s="104"/>
      <c r="B134" s="104"/>
      <c r="C134" s="105"/>
      <c r="D134" s="106"/>
      <c r="E134" s="107"/>
      <c r="F134" s="128"/>
      <c r="G134" s="30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6.5" customHeight="1">
      <c r="A135" s="97"/>
      <c r="B135" s="97"/>
      <c r="C135" s="98"/>
      <c r="D135" s="99"/>
      <c r="E135" s="100"/>
      <c r="F135" s="128"/>
      <c r="G135" s="30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6.5" customHeight="1">
      <c r="A136" s="104"/>
      <c r="B136" s="104"/>
      <c r="C136" s="105"/>
      <c r="D136" s="106"/>
      <c r="E136" s="107"/>
      <c r="F136" s="128"/>
      <c r="G136" s="30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6.5" customHeight="1">
      <c r="A137" s="97"/>
      <c r="B137" s="97"/>
      <c r="C137" s="98"/>
      <c r="D137" s="99"/>
      <c r="E137" s="100"/>
      <c r="F137" s="128"/>
      <c r="G137" s="30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6.5" customHeight="1">
      <c r="A138" s="118"/>
      <c r="B138" s="118"/>
      <c r="C138" s="105"/>
      <c r="D138" s="106"/>
      <c r="E138" s="107"/>
      <c r="F138" s="128"/>
      <c r="G138" s="30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6.5" customHeight="1">
      <c r="A139" s="97"/>
      <c r="B139" s="97"/>
      <c r="C139" s="98"/>
      <c r="D139" s="99"/>
      <c r="E139" s="100"/>
      <c r="F139" s="128"/>
      <c r="G139" s="30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6.5" customHeight="1">
      <c r="A140" s="104"/>
      <c r="B140" s="104"/>
      <c r="C140" s="105"/>
      <c r="D140" s="106"/>
      <c r="E140" s="107"/>
      <c r="F140" s="128"/>
      <c r="G140" s="30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6.5" customHeight="1">
      <c r="A141" s="97"/>
      <c r="B141" s="97"/>
      <c r="C141" s="98"/>
      <c r="D141" s="99"/>
      <c r="E141" s="100"/>
      <c r="F141" s="128"/>
      <c r="G141" s="30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6.5" customHeight="1">
      <c r="A142" s="104"/>
      <c r="B142" s="104"/>
      <c r="C142" s="105"/>
      <c r="D142" s="106"/>
      <c r="E142" s="107"/>
      <c r="F142" s="128"/>
      <c r="G142" s="30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6.5" customHeight="1">
      <c r="A143" s="97"/>
      <c r="B143" s="97"/>
      <c r="C143" s="98"/>
      <c r="D143" s="99"/>
      <c r="E143" s="100"/>
      <c r="F143" s="128"/>
      <c r="G143" s="30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6.5" customHeight="1">
      <c r="A144" s="104"/>
      <c r="B144" s="104"/>
      <c r="C144" s="105"/>
      <c r="D144" s="106"/>
      <c r="E144" s="107"/>
      <c r="F144" s="128"/>
      <c r="G144" s="30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6.5" customHeight="1">
      <c r="A145" s="97"/>
      <c r="B145" s="97"/>
      <c r="C145" s="98"/>
      <c r="D145" s="99"/>
      <c r="E145" s="100"/>
      <c r="F145" s="128"/>
      <c r="G145" s="30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6.5" customHeight="1">
      <c r="A146" s="104"/>
      <c r="B146" s="104"/>
      <c r="C146" s="105"/>
      <c r="D146" s="106"/>
      <c r="E146" s="107"/>
      <c r="F146" s="128"/>
      <c r="G146" s="30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6.5" customHeight="1">
      <c r="A147" s="97"/>
      <c r="B147" s="97"/>
      <c r="C147" s="98"/>
      <c r="D147" s="99"/>
      <c r="E147" s="100"/>
      <c r="F147" s="128"/>
      <c r="G147" s="30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6.5" customHeight="1">
      <c r="A148" s="104"/>
      <c r="B148" s="104"/>
      <c r="C148" s="105"/>
      <c r="D148" s="106"/>
      <c r="E148" s="107"/>
      <c r="F148" s="128"/>
      <c r="G148" s="30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6.5" customHeight="1">
      <c r="A149" s="97"/>
      <c r="B149" s="97"/>
      <c r="C149" s="98"/>
      <c r="D149" s="99"/>
      <c r="E149" s="100"/>
      <c r="F149" s="128"/>
      <c r="G149" s="30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6.5" customHeight="1">
      <c r="A150" s="104"/>
      <c r="B150" s="104"/>
      <c r="C150" s="105"/>
      <c r="D150" s="106"/>
      <c r="E150" s="107"/>
      <c r="F150" s="128"/>
      <c r="G150" s="30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6.5" customHeight="1">
      <c r="A151" s="97"/>
      <c r="B151" s="97"/>
      <c r="C151" s="98"/>
      <c r="D151" s="99"/>
      <c r="E151" s="100"/>
      <c r="F151" s="128"/>
      <c r="G151" s="30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6.5" customHeight="1">
      <c r="A152" s="104"/>
      <c r="B152" s="104"/>
      <c r="C152" s="105"/>
      <c r="D152" s="106"/>
      <c r="E152" s="107"/>
      <c r="F152" s="128"/>
      <c r="G152" s="30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6.5" customHeight="1">
      <c r="A153" s="97"/>
      <c r="B153" s="97"/>
      <c r="C153" s="98"/>
      <c r="D153" s="99"/>
      <c r="E153" s="100"/>
      <c r="F153" s="128"/>
      <c r="G153" s="30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6.5" customHeight="1">
      <c r="A154" s="118"/>
      <c r="B154" s="118"/>
      <c r="C154" s="105"/>
      <c r="D154" s="106"/>
      <c r="E154" s="107"/>
      <c r="F154" s="128"/>
      <c r="G154" s="30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6.5" customHeight="1">
      <c r="A155" s="142"/>
      <c r="B155" s="142"/>
      <c r="C155" s="98"/>
      <c r="D155" s="99"/>
      <c r="E155" s="100"/>
      <c r="F155" s="128"/>
      <c r="G155" s="30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6.5" customHeight="1">
      <c r="A156" s="104"/>
      <c r="B156" s="104"/>
      <c r="C156" s="105"/>
      <c r="D156" s="106"/>
      <c r="E156" s="107"/>
      <c r="F156" s="128"/>
      <c r="G156" s="30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6.5" customHeight="1">
      <c r="A157" s="97"/>
      <c r="B157" s="97"/>
      <c r="C157" s="98"/>
      <c r="D157" s="99"/>
      <c r="E157" s="100"/>
      <c r="F157" s="128"/>
      <c r="G157" s="30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104"/>
      <c r="B158" s="104"/>
      <c r="C158" s="105"/>
      <c r="D158" s="106"/>
      <c r="E158" s="107"/>
      <c r="F158" s="128"/>
      <c r="G158" s="30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6.5" customHeight="1">
      <c r="A159" s="97"/>
      <c r="B159" s="97"/>
      <c r="C159" s="98"/>
      <c r="D159" s="99"/>
      <c r="E159" s="100"/>
      <c r="F159" s="146"/>
      <c r="G159" s="30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6.5" customHeight="1">
      <c r="A160" s="104"/>
      <c r="B160" s="104"/>
      <c r="C160" s="105"/>
      <c r="D160" s="106"/>
      <c r="E160" s="107"/>
      <c r="F160" s="102">
        <f t="array" ref="F160">SUM(D93:D163)</f>
        <v>0</v>
      </c>
      <c r="G160" s="10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97"/>
      <c r="B161" s="97"/>
      <c r="C161" s="98"/>
      <c r="D161" s="99"/>
      <c r="E161" s="100"/>
      <c r="F161" s="69">
        <f t="array" ref="F161">SUM(E93:E163)</f>
        <v>0</v>
      </c>
      <c r="G161" s="10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6.5" customHeight="1">
      <c r="A162" s="104"/>
      <c r="B162" s="104"/>
      <c r="C162" s="105"/>
      <c r="D162" s="106"/>
      <c r="E162" s="107"/>
      <c r="F162" s="173" t="s">
        <v>136</v>
      </c>
      <c r="G162" s="72">
        <f t="array" ref="G162">F161-F160</f>
        <v>0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6.5" customHeight="1">
      <c r="A163" s="97"/>
      <c r="B163" s="97"/>
      <c r="C163" s="98"/>
      <c r="D163" s="99"/>
      <c r="E163" s="100"/>
      <c r="F163" s="175" t="s">
        <v>137</v>
      </c>
      <c r="G163" s="149">
        <f t="array" ref="G163">SUM(C93:C163)</f>
        <v>0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6.5" customHeight="1">
      <c r="A164" s="104"/>
      <c r="B164" s="104"/>
      <c r="C164" s="105"/>
      <c r="D164" s="106"/>
      <c r="E164" s="107"/>
      <c r="F164" s="133"/>
      <c r="G164" s="12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6.5" customHeight="1">
      <c r="A165" s="142"/>
      <c r="B165" s="142"/>
      <c r="C165" s="98"/>
      <c r="D165" s="99"/>
      <c r="E165" s="100"/>
      <c r="F165" s="128"/>
      <c r="G165" s="30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6.5" customHeight="1">
      <c r="A166" s="104"/>
      <c r="B166" s="104"/>
      <c r="C166" s="105"/>
      <c r="D166" s="106"/>
      <c r="E166" s="107"/>
      <c r="F166" s="128"/>
      <c r="G166" s="30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6.5" customHeight="1">
      <c r="A167" s="97"/>
      <c r="B167" s="97"/>
      <c r="C167" s="98"/>
      <c r="D167" s="99"/>
      <c r="E167" s="100"/>
      <c r="F167" s="128"/>
      <c r="G167" s="30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6.5" customHeight="1">
      <c r="A168" s="104"/>
      <c r="B168" s="104"/>
      <c r="C168" s="105"/>
      <c r="D168" s="106"/>
      <c r="E168" s="107"/>
      <c r="F168" s="128"/>
      <c r="G168" s="30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6.5" customHeight="1">
      <c r="A169" s="97"/>
      <c r="B169" s="97"/>
      <c r="C169" s="98"/>
      <c r="D169" s="99"/>
      <c r="E169" s="100"/>
      <c r="F169" s="128"/>
      <c r="G169" s="30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6.5" customHeight="1">
      <c r="A170" s="104"/>
      <c r="B170" s="104"/>
      <c r="C170" s="105"/>
      <c r="D170" s="106"/>
      <c r="E170" s="107"/>
      <c r="F170" s="128"/>
      <c r="G170" s="30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6.5" customHeight="1">
      <c r="A171" s="97"/>
      <c r="B171" s="97"/>
      <c r="C171" s="98"/>
      <c r="D171" s="99"/>
      <c r="E171" s="100"/>
      <c r="F171" s="128"/>
      <c r="G171" s="30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6.5" customHeight="1">
      <c r="A172" s="118"/>
      <c r="B172" s="118"/>
      <c r="C172" s="105"/>
      <c r="D172" s="106"/>
      <c r="E172" s="107"/>
      <c r="F172" s="128"/>
      <c r="G172" s="30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6.5" customHeight="1">
      <c r="A173" s="97"/>
      <c r="B173" s="97"/>
      <c r="C173" s="98"/>
      <c r="D173" s="99"/>
      <c r="E173" s="100"/>
      <c r="F173" s="128"/>
      <c r="G173" s="30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6.5" customHeight="1">
      <c r="A174" s="104"/>
      <c r="B174" s="104"/>
      <c r="C174" s="105"/>
      <c r="D174" s="106"/>
      <c r="E174" s="107"/>
      <c r="F174" s="128"/>
      <c r="G174" s="30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97"/>
      <c r="B175" s="97"/>
      <c r="C175" s="98"/>
      <c r="D175" s="99"/>
      <c r="E175" s="100"/>
      <c r="F175" s="128"/>
      <c r="G175" s="30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6.5" customHeight="1">
      <c r="A176" s="104"/>
      <c r="B176" s="104"/>
      <c r="C176" s="105"/>
      <c r="D176" s="106"/>
      <c r="E176" s="107"/>
      <c r="F176" s="128"/>
      <c r="G176" s="30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6.5" customHeight="1">
      <c r="A177" s="97"/>
      <c r="B177" s="97"/>
      <c r="C177" s="98"/>
      <c r="D177" s="99"/>
      <c r="E177" s="100"/>
      <c r="F177" s="128"/>
      <c r="G177" s="30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6.5" customHeight="1">
      <c r="A178" s="104"/>
      <c r="B178" s="104"/>
      <c r="C178" s="105"/>
      <c r="D178" s="106"/>
      <c r="E178" s="107"/>
      <c r="F178" s="128"/>
      <c r="G178" s="30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6.5" customHeight="1">
      <c r="A179" s="97"/>
      <c r="B179" s="97"/>
      <c r="C179" s="98"/>
      <c r="D179" s="99"/>
      <c r="E179" s="100"/>
      <c r="F179" s="128"/>
      <c r="G179" s="30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6.5" customHeight="1">
      <c r="A180" s="104"/>
      <c r="B180" s="104"/>
      <c r="C180" s="105"/>
      <c r="D180" s="106"/>
      <c r="E180" s="107"/>
      <c r="F180" s="128"/>
      <c r="G180" s="30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6.5" customHeight="1">
      <c r="A181" s="97"/>
      <c r="B181" s="97"/>
      <c r="C181" s="98"/>
      <c r="D181" s="99"/>
      <c r="E181" s="100"/>
      <c r="F181" s="128"/>
      <c r="G181" s="30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6.5" customHeight="1">
      <c r="A182" s="104"/>
      <c r="B182" s="104"/>
      <c r="C182" s="105"/>
      <c r="D182" s="106"/>
      <c r="E182" s="107"/>
      <c r="F182" s="128"/>
      <c r="G182" s="30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6.5" customHeight="1">
      <c r="A183" s="97"/>
      <c r="B183" s="97"/>
      <c r="C183" s="98"/>
      <c r="D183" s="99"/>
      <c r="E183" s="100"/>
      <c r="F183" s="128"/>
      <c r="G183" s="30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6.5" customHeight="1">
      <c r="A184" s="104"/>
      <c r="B184" s="104"/>
      <c r="C184" s="105"/>
      <c r="D184" s="106"/>
      <c r="E184" s="107"/>
      <c r="F184" s="128"/>
      <c r="G184" s="30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6.5" customHeight="1">
      <c r="A185" s="97"/>
      <c r="B185" s="97"/>
      <c r="C185" s="98"/>
      <c r="D185" s="99"/>
      <c r="E185" s="100"/>
      <c r="F185" s="128"/>
      <c r="G185" s="30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6.5" customHeight="1">
      <c r="A186" s="104"/>
      <c r="B186" s="104"/>
      <c r="C186" s="105"/>
      <c r="D186" s="106"/>
      <c r="E186" s="107"/>
      <c r="F186" s="128"/>
      <c r="G186" s="30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6.5" customHeight="1">
      <c r="A187" s="97"/>
      <c r="B187" s="97"/>
      <c r="C187" s="98"/>
      <c r="D187" s="99"/>
      <c r="E187" s="100"/>
      <c r="F187" s="128"/>
      <c r="G187" s="30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6.5" customHeight="1">
      <c r="A188" s="104"/>
      <c r="B188" s="104"/>
      <c r="C188" s="105"/>
      <c r="D188" s="106"/>
      <c r="E188" s="107"/>
      <c r="F188" s="128"/>
      <c r="G188" s="30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6.5" customHeight="1">
      <c r="A189" s="97"/>
      <c r="B189" s="97"/>
      <c r="C189" s="98"/>
      <c r="D189" s="99"/>
      <c r="E189" s="100"/>
      <c r="F189" s="128"/>
      <c r="G189" s="30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6.5" customHeight="1">
      <c r="A190" s="104"/>
      <c r="B190" s="104"/>
      <c r="C190" s="105"/>
      <c r="D190" s="106"/>
      <c r="E190" s="107"/>
      <c r="F190" s="128"/>
      <c r="G190" s="30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6.5" customHeight="1">
      <c r="A191" s="142"/>
      <c r="B191" s="142"/>
      <c r="C191" s="98"/>
      <c r="D191" s="99"/>
      <c r="E191" s="100"/>
      <c r="F191" s="128"/>
      <c r="G191" s="30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6.5" customHeight="1">
      <c r="A192" s="118"/>
      <c r="B192" s="118"/>
      <c r="C192" s="105"/>
      <c r="D192" s="106"/>
      <c r="E192" s="107"/>
      <c r="F192" s="128"/>
      <c r="G192" s="30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6.5" customHeight="1">
      <c r="A193" s="97"/>
      <c r="B193" s="97"/>
      <c r="C193" s="98"/>
      <c r="D193" s="99"/>
      <c r="E193" s="100"/>
      <c r="F193" s="128"/>
      <c r="G193" s="30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6.5" customHeight="1">
      <c r="A194" s="104"/>
      <c r="B194" s="104"/>
      <c r="C194" s="105"/>
      <c r="D194" s="106"/>
      <c r="E194" s="107"/>
      <c r="F194" s="128"/>
      <c r="G194" s="30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6.5" customHeight="1">
      <c r="A195" s="97"/>
      <c r="B195" s="97"/>
      <c r="C195" s="98"/>
      <c r="D195" s="99"/>
      <c r="E195" s="100"/>
      <c r="F195" s="128"/>
      <c r="G195" s="30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6.5" customHeight="1">
      <c r="A196" s="104"/>
      <c r="B196" s="104"/>
      <c r="C196" s="105"/>
      <c r="D196" s="106"/>
      <c r="E196" s="107"/>
      <c r="F196" s="128"/>
      <c r="G196" s="30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6.5" customHeight="1">
      <c r="A197" s="97"/>
      <c r="B197" s="97"/>
      <c r="C197" s="98"/>
      <c r="D197" s="99"/>
      <c r="E197" s="100"/>
      <c r="F197" s="128"/>
      <c r="G197" s="30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6.5" customHeight="1">
      <c r="A198" s="104"/>
      <c r="B198" s="104"/>
      <c r="C198" s="105"/>
      <c r="D198" s="106"/>
      <c r="E198" s="107"/>
      <c r="F198" s="128"/>
      <c r="G198" s="30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6.5" customHeight="1">
      <c r="A199" s="97"/>
      <c r="B199" s="97"/>
      <c r="C199" s="98"/>
      <c r="D199" s="99"/>
      <c r="E199" s="100"/>
      <c r="F199" s="128"/>
      <c r="G199" s="30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6.5" customHeight="1">
      <c r="A200" s="104"/>
      <c r="B200" s="104"/>
      <c r="C200" s="105"/>
      <c r="D200" s="106"/>
      <c r="E200" s="107"/>
      <c r="F200" s="128"/>
      <c r="G200" s="30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6.5" customHeight="1">
      <c r="A201" s="97"/>
      <c r="B201" s="97"/>
      <c r="C201" s="98"/>
      <c r="D201" s="99"/>
      <c r="E201" s="100"/>
      <c r="F201" s="128"/>
      <c r="G201" s="30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6.5" customHeight="1">
      <c r="A202" s="104"/>
      <c r="B202" s="104"/>
      <c r="C202" s="105"/>
      <c r="D202" s="106"/>
      <c r="E202" s="107"/>
      <c r="F202" s="128"/>
      <c r="G202" s="30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6.5" customHeight="1">
      <c r="A203" s="97"/>
      <c r="B203" s="97"/>
      <c r="C203" s="98"/>
      <c r="D203" s="99"/>
      <c r="E203" s="100"/>
      <c r="F203" s="128"/>
      <c r="G203" s="30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104"/>
      <c r="B204" s="104"/>
      <c r="C204" s="105"/>
      <c r="D204" s="106"/>
      <c r="E204" s="107"/>
      <c r="F204" s="128"/>
      <c r="G204" s="30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6.5" customHeight="1">
      <c r="A205" s="97"/>
      <c r="B205" s="97"/>
      <c r="C205" s="98"/>
      <c r="D205" s="99"/>
      <c r="E205" s="100"/>
      <c r="F205" s="128"/>
      <c r="G205" s="30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6.5" customHeight="1">
      <c r="A206" s="118"/>
      <c r="B206" s="118"/>
      <c r="C206" s="105"/>
      <c r="D206" s="106"/>
      <c r="E206" s="107"/>
      <c r="F206" s="128"/>
      <c r="G206" s="30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6.5" customHeight="1">
      <c r="A207" s="97"/>
      <c r="B207" s="97"/>
      <c r="C207" s="98"/>
      <c r="D207" s="99"/>
      <c r="E207" s="100"/>
      <c r="F207" s="128"/>
      <c r="G207" s="30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6.5" customHeight="1">
      <c r="A208" s="104"/>
      <c r="B208" s="104"/>
      <c r="C208" s="105"/>
      <c r="D208" s="106"/>
      <c r="E208" s="107"/>
      <c r="F208" s="128"/>
      <c r="G208" s="30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6.5" customHeight="1">
      <c r="A209" s="97"/>
      <c r="B209" s="97"/>
      <c r="C209" s="98"/>
      <c r="D209" s="99"/>
      <c r="E209" s="100"/>
      <c r="F209" s="128"/>
      <c r="G209" s="30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6.5" customHeight="1">
      <c r="A210" s="118"/>
      <c r="B210" s="118"/>
      <c r="C210" s="105"/>
      <c r="D210" s="106"/>
      <c r="E210" s="107"/>
      <c r="F210" s="128"/>
      <c r="G210" s="30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6.5" customHeight="1">
      <c r="A211" s="97"/>
      <c r="B211" s="97"/>
      <c r="C211" s="98"/>
      <c r="D211" s="99"/>
      <c r="E211" s="100"/>
      <c r="F211" s="128"/>
      <c r="G211" s="30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6.5" customHeight="1">
      <c r="A212" s="118"/>
      <c r="B212" s="118"/>
      <c r="C212" s="105"/>
      <c r="D212" s="106"/>
      <c r="E212" s="107"/>
      <c r="F212" s="128"/>
      <c r="G212" s="30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6.5" customHeight="1">
      <c r="A213" s="97"/>
      <c r="B213" s="97"/>
      <c r="C213" s="98"/>
      <c r="D213" s="99"/>
      <c r="E213" s="100"/>
      <c r="F213" s="128"/>
      <c r="G213" s="30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104"/>
      <c r="B214" s="104"/>
      <c r="C214" s="105"/>
      <c r="D214" s="106"/>
      <c r="E214" s="107"/>
      <c r="F214" s="128"/>
      <c r="G214" s="30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6.5" customHeight="1">
      <c r="A215" s="97"/>
      <c r="B215" s="97"/>
      <c r="C215" s="98"/>
      <c r="D215" s="99"/>
      <c r="E215" s="100"/>
      <c r="F215" s="128"/>
      <c r="G215" s="30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6.5" customHeight="1">
      <c r="A216" s="104"/>
      <c r="B216" s="104"/>
      <c r="C216" s="105"/>
      <c r="D216" s="106"/>
      <c r="E216" s="107"/>
      <c r="F216" s="128"/>
      <c r="G216" s="30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6.5" customHeight="1">
      <c r="A217" s="97"/>
      <c r="B217" s="97"/>
      <c r="C217" s="98"/>
      <c r="D217" s="99"/>
      <c r="E217" s="100"/>
      <c r="F217" s="128"/>
      <c r="G217" s="30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6.5" customHeight="1">
      <c r="A218" s="104"/>
      <c r="B218" s="104"/>
      <c r="C218" s="105"/>
      <c r="D218" s="106"/>
      <c r="E218" s="107"/>
      <c r="F218" s="128"/>
      <c r="G218" s="30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97"/>
      <c r="B219" s="97"/>
      <c r="C219" s="98"/>
      <c r="D219" s="99"/>
      <c r="E219" s="100"/>
      <c r="F219" s="128"/>
      <c r="G219" s="30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6.5" customHeight="1">
      <c r="A220" s="104"/>
      <c r="B220" s="104"/>
      <c r="C220" s="105"/>
      <c r="D220" s="106"/>
      <c r="E220" s="107"/>
      <c r="F220" s="128"/>
      <c r="G220" s="30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6.5" customHeight="1">
      <c r="A221" s="97"/>
      <c r="B221" s="97"/>
      <c r="C221" s="98"/>
      <c r="D221" s="99"/>
      <c r="E221" s="100"/>
      <c r="F221" s="128"/>
      <c r="G221" s="30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6.5" customHeight="1">
      <c r="A222" s="104"/>
      <c r="B222" s="104"/>
      <c r="C222" s="105"/>
      <c r="D222" s="106"/>
      <c r="E222" s="107"/>
      <c r="F222" s="128"/>
      <c r="G222" s="30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6.5" customHeight="1">
      <c r="A223" s="142"/>
      <c r="B223" s="142"/>
      <c r="C223" s="98"/>
      <c r="D223" s="99"/>
      <c r="E223" s="100"/>
      <c r="F223" s="128"/>
      <c r="G223" s="30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104"/>
      <c r="B224" s="104"/>
      <c r="C224" s="105"/>
      <c r="D224" s="106"/>
      <c r="E224" s="107"/>
      <c r="F224" s="128"/>
      <c r="G224" s="30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6.5" customHeight="1">
      <c r="A225" s="97"/>
      <c r="B225" s="97"/>
      <c r="C225" s="98"/>
      <c r="D225" s="99"/>
      <c r="E225" s="100"/>
      <c r="F225" s="128"/>
      <c r="G225" s="30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6.5" customHeight="1">
      <c r="A226" s="104"/>
      <c r="B226" s="104"/>
      <c r="C226" s="105"/>
      <c r="D226" s="106"/>
      <c r="E226" s="107"/>
      <c r="F226" s="128"/>
      <c r="G226" s="30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6.5" customHeight="1">
      <c r="A227" s="142"/>
      <c r="B227" s="142"/>
      <c r="C227" s="98"/>
      <c r="D227" s="99"/>
      <c r="E227" s="100"/>
      <c r="F227" s="128"/>
      <c r="G227" s="30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6.5" customHeight="1">
      <c r="A228" s="104"/>
      <c r="B228" s="104"/>
      <c r="C228" s="105"/>
      <c r="D228" s="106"/>
      <c r="E228" s="107"/>
      <c r="F228" s="128"/>
      <c r="G228" s="30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142"/>
      <c r="B229" s="142"/>
      <c r="C229" s="98"/>
      <c r="D229" s="99"/>
      <c r="E229" s="100"/>
      <c r="F229" s="128"/>
      <c r="G229" s="30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6.5" customHeight="1">
      <c r="A230" s="104"/>
      <c r="B230" s="104"/>
      <c r="C230" s="105"/>
      <c r="D230" s="106"/>
      <c r="E230" s="107"/>
      <c r="F230" s="128"/>
      <c r="G230" s="30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6.5" customHeight="1">
      <c r="A231" s="97"/>
      <c r="B231" s="97"/>
      <c r="C231" s="98"/>
      <c r="D231" s="99"/>
      <c r="E231" s="100"/>
      <c r="F231" s="128"/>
      <c r="G231" s="30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6.5" customHeight="1">
      <c r="A232" s="104"/>
      <c r="B232" s="104"/>
      <c r="C232" s="105"/>
      <c r="D232" s="106"/>
      <c r="E232" s="107"/>
      <c r="F232" s="146"/>
      <c r="G232" s="30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6.5" customHeight="1">
      <c r="A233" s="97"/>
      <c r="B233" s="97"/>
      <c r="C233" s="98"/>
      <c r="D233" s="99"/>
      <c r="E233" s="100"/>
      <c r="F233" s="102">
        <f t="array" ref="F233">SUM(D164:D236)</f>
        <v>0</v>
      </c>
      <c r="G233" s="10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6.5" customHeight="1">
      <c r="A234" s="104"/>
      <c r="B234" s="104"/>
      <c r="C234" s="105"/>
      <c r="D234" s="106"/>
      <c r="E234" s="107"/>
      <c r="F234" s="69">
        <f t="array" ref="F234">SUM(E164:E236)</f>
        <v>0</v>
      </c>
      <c r="G234" s="10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6.5" customHeight="1">
      <c r="A235" s="97"/>
      <c r="B235" s="97"/>
      <c r="C235" s="98"/>
      <c r="D235" s="99"/>
      <c r="E235" s="100"/>
      <c r="F235" s="173" t="s">
        <v>143</v>
      </c>
      <c r="G235" s="72">
        <f t="array" ref="G235">F234-F233</f>
        <v>0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6.5" customHeight="1">
      <c r="A236" s="104"/>
      <c r="B236" s="104"/>
      <c r="C236" s="105"/>
      <c r="D236" s="106"/>
      <c r="E236" s="107"/>
      <c r="F236" s="175" t="s">
        <v>144</v>
      </c>
      <c r="G236" s="149">
        <f t="array" ref="G236">SUM(C164:C236)</f>
        <v>0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6.5" customHeight="1">
      <c r="A237" s="97"/>
      <c r="B237" s="97"/>
      <c r="C237" s="98"/>
      <c r="D237" s="99"/>
      <c r="E237" s="100"/>
      <c r="F237" s="133"/>
      <c r="G237" s="12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6.5" customHeight="1">
      <c r="A238" s="118"/>
      <c r="B238" s="118"/>
      <c r="C238" s="105"/>
      <c r="D238" s="106"/>
      <c r="E238" s="107"/>
      <c r="F238" s="128"/>
      <c r="G238" s="30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6.5" customHeight="1">
      <c r="A239" s="97"/>
      <c r="B239" s="97"/>
      <c r="C239" s="98"/>
      <c r="D239" s="99"/>
      <c r="E239" s="100"/>
      <c r="F239" s="128"/>
      <c r="G239" s="30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6.5" customHeight="1">
      <c r="A240" s="104"/>
      <c r="B240" s="104"/>
      <c r="C240" s="105"/>
      <c r="D240" s="106"/>
      <c r="E240" s="107"/>
      <c r="F240" s="128"/>
      <c r="G240" s="30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6.5" customHeight="1">
      <c r="A241" s="97"/>
      <c r="B241" s="97"/>
      <c r="C241" s="98"/>
      <c r="D241" s="99"/>
      <c r="E241" s="100"/>
      <c r="F241" s="128"/>
      <c r="G241" s="30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6.5" customHeight="1">
      <c r="A242" s="118"/>
      <c r="B242" s="118"/>
      <c r="C242" s="105"/>
      <c r="D242" s="106"/>
      <c r="E242" s="107"/>
      <c r="F242" s="128"/>
      <c r="G242" s="30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6.5" customHeight="1">
      <c r="A243" s="97"/>
      <c r="B243" s="97"/>
      <c r="C243" s="98"/>
      <c r="D243" s="99"/>
      <c r="E243" s="100"/>
      <c r="F243" s="128"/>
      <c r="G243" s="30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6.5" customHeight="1">
      <c r="A244" s="104"/>
      <c r="B244" s="104"/>
      <c r="C244" s="105"/>
      <c r="D244" s="106"/>
      <c r="E244" s="107"/>
      <c r="F244" s="128"/>
      <c r="G244" s="30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6.5" customHeight="1">
      <c r="A245" s="97"/>
      <c r="B245" s="97"/>
      <c r="C245" s="98"/>
      <c r="D245" s="99"/>
      <c r="E245" s="100"/>
      <c r="F245" s="128"/>
      <c r="G245" s="30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6.5" customHeight="1">
      <c r="A246" s="104"/>
      <c r="B246" s="104"/>
      <c r="C246" s="105"/>
      <c r="D246" s="106"/>
      <c r="E246" s="107"/>
      <c r="F246" s="128"/>
      <c r="G246" s="30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97"/>
      <c r="B247" s="97"/>
      <c r="C247" s="98"/>
      <c r="D247" s="99"/>
      <c r="E247" s="100"/>
      <c r="F247" s="128"/>
      <c r="G247" s="30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104"/>
      <c r="B248" s="104"/>
      <c r="C248" s="105"/>
      <c r="D248" s="106"/>
      <c r="E248" s="107"/>
      <c r="F248" s="128"/>
      <c r="G248" s="30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142"/>
      <c r="B249" s="142"/>
      <c r="C249" s="98"/>
      <c r="D249" s="99"/>
      <c r="E249" s="100"/>
      <c r="F249" s="128"/>
      <c r="G249" s="30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104"/>
      <c r="B250" s="104"/>
      <c r="C250" s="105"/>
      <c r="D250" s="106"/>
      <c r="E250" s="107"/>
      <c r="F250" s="128"/>
      <c r="G250" s="30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97"/>
      <c r="B251" s="97"/>
      <c r="C251" s="98"/>
      <c r="D251" s="99"/>
      <c r="E251" s="100"/>
      <c r="F251" s="128"/>
      <c r="G251" s="30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118"/>
      <c r="B252" s="104"/>
      <c r="C252" s="105"/>
      <c r="D252" s="106"/>
      <c r="E252" s="107"/>
      <c r="F252" s="128"/>
      <c r="G252" s="30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97"/>
      <c r="B253" s="97"/>
      <c r="C253" s="98"/>
      <c r="D253" s="99"/>
      <c r="E253" s="100"/>
      <c r="F253" s="128"/>
      <c r="G253" s="30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104"/>
      <c r="B254" s="104"/>
      <c r="C254" s="105"/>
      <c r="D254" s="106"/>
      <c r="E254" s="107"/>
      <c r="F254" s="128"/>
      <c r="G254" s="30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97"/>
      <c r="B255" s="97"/>
      <c r="C255" s="98"/>
      <c r="D255" s="99"/>
      <c r="E255" s="100"/>
      <c r="F255" s="128"/>
      <c r="G255" s="30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104"/>
      <c r="B256" s="104"/>
      <c r="C256" s="105"/>
      <c r="D256" s="106"/>
      <c r="E256" s="107"/>
      <c r="F256" s="128"/>
      <c r="G256" s="30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97"/>
      <c r="B257" s="97"/>
      <c r="C257" s="98"/>
      <c r="D257" s="99"/>
      <c r="E257" s="100"/>
      <c r="F257" s="128"/>
      <c r="G257" s="30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104"/>
      <c r="B258" s="104"/>
      <c r="C258" s="105"/>
      <c r="D258" s="106"/>
      <c r="E258" s="107"/>
      <c r="F258" s="128"/>
      <c r="G258" s="30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97"/>
      <c r="B259" s="97"/>
      <c r="C259" s="98"/>
      <c r="D259" s="99"/>
      <c r="E259" s="100"/>
      <c r="F259" s="128"/>
      <c r="G259" s="30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104"/>
      <c r="B260" s="104"/>
      <c r="C260" s="105"/>
      <c r="D260" s="106"/>
      <c r="E260" s="107"/>
      <c r="F260" s="128"/>
      <c r="G260" s="30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142"/>
      <c r="B261" s="142"/>
      <c r="C261" s="98"/>
      <c r="D261" s="99"/>
      <c r="E261" s="100"/>
      <c r="F261" s="128"/>
      <c r="G261" s="30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104"/>
      <c r="B262" s="104"/>
      <c r="C262" s="105"/>
      <c r="D262" s="106"/>
      <c r="E262" s="107"/>
      <c r="F262" s="128"/>
      <c r="G262" s="30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142"/>
      <c r="B263" s="142"/>
      <c r="C263" s="98"/>
      <c r="D263" s="99"/>
      <c r="E263" s="100"/>
      <c r="F263" s="128"/>
      <c r="G263" s="30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104"/>
      <c r="B264" s="104"/>
      <c r="C264" s="105"/>
      <c r="D264" s="106"/>
      <c r="E264" s="107"/>
      <c r="F264" s="128"/>
      <c r="G264" s="30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142"/>
      <c r="B265" s="97"/>
      <c r="C265" s="98"/>
      <c r="D265" s="99"/>
      <c r="E265" s="100"/>
      <c r="F265" s="128"/>
      <c r="G265" s="30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104"/>
      <c r="B266" s="104"/>
      <c r="C266" s="105"/>
      <c r="D266" s="106"/>
      <c r="E266" s="107"/>
      <c r="F266" s="128"/>
      <c r="G266" s="30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97"/>
      <c r="B267" s="97"/>
      <c r="C267" s="98"/>
      <c r="D267" s="99"/>
      <c r="E267" s="100"/>
      <c r="F267" s="128"/>
      <c r="G267" s="30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104"/>
      <c r="B268" s="104"/>
      <c r="C268" s="105"/>
      <c r="D268" s="106"/>
      <c r="E268" s="107"/>
      <c r="F268" s="128"/>
      <c r="G268" s="30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142"/>
      <c r="B269" s="97"/>
      <c r="C269" s="98"/>
      <c r="D269" s="99"/>
      <c r="E269" s="100"/>
      <c r="F269" s="128"/>
      <c r="G269" s="30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104"/>
      <c r="B270" s="104"/>
      <c r="C270" s="105"/>
      <c r="D270" s="106"/>
      <c r="E270" s="107"/>
      <c r="F270" s="128"/>
      <c r="G270" s="30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97"/>
      <c r="B271" s="97"/>
      <c r="C271" s="98"/>
      <c r="D271" s="99"/>
      <c r="E271" s="100"/>
      <c r="F271" s="128"/>
      <c r="G271" s="30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104"/>
      <c r="B272" s="104"/>
      <c r="C272" s="105"/>
      <c r="D272" s="106"/>
      <c r="E272" s="107"/>
      <c r="F272" s="128"/>
      <c r="G272" s="30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142"/>
      <c r="B273" s="97"/>
      <c r="C273" s="98"/>
      <c r="D273" s="99"/>
      <c r="E273" s="100"/>
      <c r="F273" s="128"/>
      <c r="G273" s="30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18"/>
      <c r="B274" s="104"/>
      <c r="C274" s="105"/>
      <c r="D274" s="106"/>
      <c r="E274" s="107"/>
      <c r="F274" s="128"/>
      <c r="G274" s="30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97"/>
      <c r="B275" s="97"/>
      <c r="C275" s="98"/>
      <c r="D275" s="99"/>
      <c r="E275" s="100"/>
      <c r="F275" s="128"/>
      <c r="G275" s="30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118"/>
      <c r="B276" s="104"/>
      <c r="C276" s="105"/>
      <c r="D276" s="106"/>
      <c r="E276" s="107"/>
      <c r="F276" s="128"/>
      <c r="G276" s="30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97"/>
      <c r="B277" s="97"/>
      <c r="C277" s="98"/>
      <c r="D277" s="99"/>
      <c r="E277" s="100"/>
      <c r="F277" s="128"/>
      <c r="G277" s="30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104"/>
      <c r="B278" s="104"/>
      <c r="C278" s="105"/>
      <c r="D278" s="106"/>
      <c r="E278" s="107"/>
      <c r="F278" s="128"/>
      <c r="G278" s="30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97"/>
      <c r="B279" s="97"/>
      <c r="C279" s="98"/>
      <c r="D279" s="99"/>
      <c r="E279" s="100"/>
      <c r="F279" s="128"/>
      <c r="G279" s="30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104"/>
      <c r="B280" s="104"/>
      <c r="C280" s="105"/>
      <c r="D280" s="106"/>
      <c r="E280" s="107"/>
      <c r="F280" s="128"/>
      <c r="G280" s="30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97"/>
      <c r="B281" s="97"/>
      <c r="C281" s="98"/>
      <c r="D281" s="99"/>
      <c r="E281" s="100"/>
      <c r="F281" s="128"/>
      <c r="G281" s="30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104"/>
      <c r="B282" s="104"/>
      <c r="C282" s="105"/>
      <c r="D282" s="106"/>
      <c r="E282" s="107"/>
      <c r="F282" s="128"/>
      <c r="G282" s="30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97"/>
      <c r="B283" s="97"/>
      <c r="C283" s="98"/>
      <c r="D283" s="99"/>
      <c r="E283" s="100"/>
      <c r="F283" s="128"/>
      <c r="G283" s="30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104"/>
      <c r="B284" s="104"/>
      <c r="C284" s="105"/>
      <c r="D284" s="106"/>
      <c r="E284" s="107"/>
      <c r="F284" s="128"/>
      <c r="G284" s="30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97"/>
      <c r="B285" s="97"/>
      <c r="C285" s="98"/>
      <c r="D285" s="99"/>
      <c r="E285" s="100"/>
      <c r="F285" s="128"/>
      <c r="G285" s="30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118"/>
      <c r="B286" s="118"/>
      <c r="C286" s="105"/>
      <c r="D286" s="106"/>
      <c r="E286" s="107"/>
      <c r="F286" s="128"/>
      <c r="G286" s="30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97"/>
      <c r="B287" s="97"/>
      <c r="C287" s="98"/>
      <c r="D287" s="99"/>
      <c r="E287" s="100"/>
      <c r="F287" s="146"/>
      <c r="G287" s="30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104"/>
      <c r="B288" s="104"/>
      <c r="C288" s="105"/>
      <c r="D288" s="106"/>
      <c r="E288" s="107"/>
      <c r="F288" s="102">
        <f t="array" ref="F288">SUM(D237:D291)</f>
        <v>0</v>
      </c>
      <c r="G288" s="10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97"/>
      <c r="B289" s="97"/>
      <c r="C289" s="98"/>
      <c r="D289" s="99"/>
      <c r="E289" s="100"/>
      <c r="F289" s="69">
        <f t="array" ref="F289">SUM(E237:E291)</f>
        <v>0</v>
      </c>
      <c r="G289" s="10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104"/>
      <c r="B290" s="104"/>
      <c r="C290" s="105"/>
      <c r="D290" s="106"/>
      <c r="E290" s="107"/>
      <c r="F290" s="173" t="s">
        <v>146</v>
      </c>
      <c r="G290" s="72">
        <f t="array" ref="G290">F289-F288</f>
        <v>0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97"/>
      <c r="B291" s="97"/>
      <c r="C291" s="98"/>
      <c r="D291" s="99"/>
      <c r="E291" s="100"/>
      <c r="F291" s="175" t="s">
        <v>147</v>
      </c>
      <c r="G291" s="149">
        <f t="array" ref="G291">SUM(C237:C291)</f>
        <v>0</v>
      </c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104"/>
      <c r="B292" s="104"/>
      <c r="C292" s="105"/>
      <c r="D292" s="106"/>
      <c r="E292" s="107"/>
      <c r="F292" s="133"/>
      <c r="G292" s="12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97"/>
      <c r="B293" s="97"/>
      <c r="C293" s="98"/>
      <c r="D293" s="99"/>
      <c r="E293" s="100"/>
      <c r="F293" s="128"/>
      <c r="G293" s="30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104"/>
      <c r="B294" s="104"/>
      <c r="C294" s="105"/>
      <c r="D294" s="106"/>
      <c r="E294" s="107"/>
      <c r="F294" s="128"/>
      <c r="G294" s="30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97"/>
      <c r="B295" s="97"/>
      <c r="C295" s="98"/>
      <c r="D295" s="99"/>
      <c r="E295" s="100"/>
      <c r="F295" s="128"/>
      <c r="G295" s="30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104"/>
      <c r="B296" s="104"/>
      <c r="C296" s="105"/>
      <c r="D296" s="106"/>
      <c r="E296" s="107"/>
      <c r="F296" s="128"/>
      <c r="G296" s="30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97"/>
      <c r="B297" s="97"/>
      <c r="C297" s="98"/>
      <c r="D297" s="99"/>
      <c r="E297" s="100"/>
      <c r="F297" s="128"/>
      <c r="G297" s="30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104"/>
      <c r="B298" s="104"/>
      <c r="C298" s="105"/>
      <c r="D298" s="106"/>
      <c r="E298" s="107"/>
      <c r="F298" s="128"/>
      <c r="G298" s="30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97"/>
      <c r="B299" s="97"/>
      <c r="C299" s="98"/>
      <c r="D299" s="99"/>
      <c r="E299" s="100"/>
      <c r="F299" s="128"/>
      <c r="G299" s="30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104"/>
      <c r="B300" s="104"/>
      <c r="C300" s="105"/>
      <c r="D300" s="106"/>
      <c r="E300" s="107"/>
      <c r="F300" s="128"/>
      <c r="G300" s="30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97"/>
      <c r="B301" s="97"/>
      <c r="C301" s="98"/>
      <c r="D301" s="99"/>
      <c r="E301" s="100"/>
      <c r="F301" s="128"/>
      <c r="G301" s="30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104"/>
      <c r="B302" s="104"/>
      <c r="C302" s="105"/>
      <c r="D302" s="106"/>
      <c r="E302" s="107"/>
      <c r="F302" s="128"/>
      <c r="G302" s="30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97"/>
      <c r="B303" s="97"/>
      <c r="C303" s="98"/>
      <c r="D303" s="99"/>
      <c r="E303" s="100"/>
      <c r="F303" s="128"/>
      <c r="G303" s="30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104"/>
      <c r="B304" s="104"/>
      <c r="C304" s="105"/>
      <c r="D304" s="106"/>
      <c r="E304" s="107"/>
      <c r="F304" s="128"/>
      <c r="G304" s="30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97"/>
      <c r="B305" s="97"/>
      <c r="C305" s="98"/>
      <c r="D305" s="99"/>
      <c r="E305" s="100"/>
      <c r="F305" s="128"/>
      <c r="G305" s="30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104"/>
      <c r="B306" s="104"/>
      <c r="C306" s="105"/>
      <c r="D306" s="106"/>
      <c r="E306" s="107"/>
      <c r="F306" s="128"/>
      <c r="G306" s="30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97"/>
      <c r="B307" s="97"/>
      <c r="C307" s="98"/>
      <c r="D307" s="99"/>
      <c r="E307" s="100"/>
      <c r="F307" s="128"/>
      <c r="G307" s="30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104"/>
      <c r="B308" s="104"/>
      <c r="C308" s="105"/>
      <c r="D308" s="106"/>
      <c r="E308" s="107"/>
      <c r="F308" s="128"/>
      <c r="G308" s="30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97"/>
      <c r="B309" s="97"/>
      <c r="C309" s="98"/>
      <c r="D309" s="99"/>
      <c r="E309" s="100"/>
      <c r="F309" s="128"/>
      <c r="G309" s="30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118"/>
      <c r="B310" s="118"/>
      <c r="C310" s="105"/>
      <c r="D310" s="106"/>
      <c r="E310" s="107"/>
      <c r="F310" s="128"/>
      <c r="G310" s="30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97"/>
      <c r="B311" s="97"/>
      <c r="C311" s="98"/>
      <c r="D311" s="99"/>
      <c r="E311" s="100"/>
      <c r="F311" s="128"/>
      <c r="G311" s="30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104"/>
      <c r="B312" s="104"/>
      <c r="C312" s="105"/>
      <c r="D312" s="106"/>
      <c r="E312" s="107"/>
      <c r="F312" s="128"/>
      <c r="G312" s="30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97"/>
      <c r="B313" s="97"/>
      <c r="C313" s="98"/>
      <c r="D313" s="99"/>
      <c r="E313" s="100"/>
      <c r="F313" s="128"/>
      <c r="G313" s="30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118"/>
      <c r="B314" s="118"/>
      <c r="C314" s="105"/>
      <c r="D314" s="106"/>
      <c r="E314" s="107"/>
      <c r="F314" s="128"/>
      <c r="G314" s="30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97"/>
      <c r="B315" s="97"/>
      <c r="C315" s="98"/>
      <c r="D315" s="99"/>
      <c r="E315" s="100"/>
      <c r="F315" s="128"/>
      <c r="G315" s="30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104"/>
      <c r="B316" s="104"/>
      <c r="C316" s="105"/>
      <c r="D316" s="106"/>
      <c r="E316" s="107"/>
      <c r="F316" s="128"/>
      <c r="G316" s="30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97"/>
      <c r="B317" s="97"/>
      <c r="C317" s="98"/>
      <c r="D317" s="99"/>
      <c r="E317" s="100"/>
      <c r="F317" s="128"/>
      <c r="G317" s="30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104"/>
      <c r="B318" s="104"/>
      <c r="C318" s="105"/>
      <c r="D318" s="106"/>
      <c r="E318" s="107"/>
      <c r="F318" s="128"/>
      <c r="G318" s="30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97"/>
      <c r="B319" s="97"/>
      <c r="C319" s="98"/>
      <c r="D319" s="99"/>
      <c r="E319" s="100"/>
      <c r="F319" s="128"/>
      <c r="G319" s="30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104"/>
      <c r="B320" s="104"/>
      <c r="C320" s="105"/>
      <c r="D320" s="106"/>
      <c r="E320" s="107"/>
      <c r="F320" s="128"/>
      <c r="G320" s="30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97"/>
      <c r="B321" s="97"/>
      <c r="C321" s="98"/>
      <c r="D321" s="99"/>
      <c r="E321" s="100"/>
      <c r="F321" s="128"/>
      <c r="G321" s="30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104"/>
      <c r="B322" s="104"/>
      <c r="C322" s="105"/>
      <c r="D322" s="106"/>
      <c r="E322" s="107"/>
      <c r="F322" s="128"/>
      <c r="G322" s="30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97"/>
      <c r="B323" s="97"/>
      <c r="C323" s="98"/>
      <c r="D323" s="99"/>
      <c r="E323" s="100"/>
      <c r="F323" s="128"/>
      <c r="G323" s="30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104"/>
      <c r="B324" s="104"/>
      <c r="C324" s="105"/>
      <c r="D324" s="106"/>
      <c r="E324" s="107"/>
      <c r="F324" s="128"/>
      <c r="G324" s="30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142"/>
      <c r="B325" s="142"/>
      <c r="C325" s="98"/>
      <c r="D325" s="99"/>
      <c r="E325" s="100"/>
      <c r="F325" s="128"/>
      <c r="G325" s="30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104"/>
      <c r="B326" s="104"/>
      <c r="C326" s="105"/>
      <c r="D326" s="106"/>
      <c r="E326" s="107"/>
      <c r="F326" s="128"/>
      <c r="G326" s="30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97"/>
      <c r="B327" s="97"/>
      <c r="C327" s="98"/>
      <c r="D327" s="99"/>
      <c r="E327" s="100"/>
      <c r="F327" s="128"/>
      <c r="G327" s="30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104"/>
      <c r="B328" s="104"/>
      <c r="C328" s="105"/>
      <c r="D328" s="106"/>
      <c r="E328" s="107"/>
      <c r="F328" s="128"/>
      <c r="G328" s="30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142"/>
      <c r="B329" s="142"/>
      <c r="C329" s="98"/>
      <c r="D329" s="99"/>
      <c r="E329" s="100"/>
      <c r="F329" s="128"/>
      <c r="G329" s="30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104"/>
      <c r="B330" s="104"/>
      <c r="C330" s="105"/>
      <c r="D330" s="106"/>
      <c r="E330" s="107"/>
      <c r="F330" s="128"/>
      <c r="G330" s="30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97"/>
      <c r="B331" s="97"/>
      <c r="C331" s="98"/>
      <c r="D331" s="99"/>
      <c r="E331" s="100"/>
      <c r="F331" s="128"/>
      <c r="G331" s="30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104"/>
      <c r="B332" s="104"/>
      <c r="C332" s="105"/>
      <c r="D332" s="106"/>
      <c r="E332" s="107"/>
      <c r="F332" s="128"/>
      <c r="G332" s="30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97"/>
      <c r="B333" s="97"/>
      <c r="C333" s="98"/>
      <c r="D333" s="99"/>
      <c r="E333" s="100"/>
      <c r="F333" s="146"/>
      <c r="G333" s="30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104"/>
      <c r="B334" s="104"/>
      <c r="C334" s="105"/>
      <c r="D334" s="106"/>
      <c r="E334" s="107"/>
      <c r="F334" s="102">
        <f t="array" ref="F334">SUM(D292:D337)</f>
        <v>0</v>
      </c>
      <c r="G334" s="10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97"/>
      <c r="B335" s="97"/>
      <c r="C335" s="98"/>
      <c r="D335" s="99"/>
      <c r="E335" s="100"/>
      <c r="F335" s="69">
        <f t="array" ref="F335">SUM(E292:E337)</f>
        <v>0</v>
      </c>
      <c r="G335" s="10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104"/>
      <c r="B336" s="104"/>
      <c r="C336" s="105"/>
      <c r="D336" s="106"/>
      <c r="E336" s="107"/>
      <c r="F336" s="173" t="s">
        <v>150</v>
      </c>
      <c r="G336" s="72">
        <f t="array" ref="G336">F335-F334</f>
        <v>0</v>
      </c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97"/>
      <c r="B337" s="97"/>
      <c r="C337" s="98"/>
      <c r="D337" s="99"/>
      <c r="E337" s="100"/>
      <c r="F337" s="175" t="s">
        <v>151</v>
      </c>
      <c r="G337" s="149">
        <f t="array" ref="G337">SUM(C292:C337)</f>
        <v>0</v>
      </c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104"/>
      <c r="B338" s="104"/>
      <c r="C338" s="105"/>
      <c r="D338" s="106"/>
      <c r="E338" s="107"/>
      <c r="F338" s="133"/>
      <c r="G338" s="12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97"/>
      <c r="B339" s="97"/>
      <c r="C339" s="98"/>
      <c r="D339" s="99"/>
      <c r="E339" s="100"/>
      <c r="F339" s="128"/>
      <c r="G339" s="30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104"/>
      <c r="B340" s="104"/>
      <c r="C340" s="105"/>
      <c r="D340" s="106"/>
      <c r="E340" s="107"/>
      <c r="F340" s="128"/>
      <c r="G340" s="30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142"/>
      <c r="B341" s="142"/>
      <c r="C341" s="98"/>
      <c r="D341" s="99"/>
      <c r="E341" s="100"/>
      <c r="F341" s="128"/>
      <c r="G341" s="30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104"/>
      <c r="B342" s="104"/>
      <c r="C342" s="105"/>
      <c r="D342" s="106"/>
      <c r="E342" s="107"/>
      <c r="F342" s="128"/>
      <c r="G342" s="30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97"/>
      <c r="B343" s="97"/>
      <c r="C343" s="98"/>
      <c r="D343" s="99"/>
      <c r="E343" s="100"/>
      <c r="F343" s="128"/>
      <c r="G343" s="30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104"/>
      <c r="B344" s="104"/>
      <c r="C344" s="105"/>
      <c r="D344" s="106"/>
      <c r="E344" s="107"/>
      <c r="F344" s="128"/>
      <c r="G344" s="30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97"/>
      <c r="B345" s="97"/>
      <c r="C345" s="98"/>
      <c r="D345" s="99"/>
      <c r="E345" s="100"/>
      <c r="F345" s="128"/>
      <c r="G345" s="30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104"/>
      <c r="B346" s="104"/>
      <c r="C346" s="105"/>
      <c r="D346" s="106"/>
      <c r="E346" s="107"/>
      <c r="F346" s="128"/>
      <c r="G346" s="30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97"/>
      <c r="B347" s="97"/>
      <c r="C347" s="98"/>
      <c r="D347" s="99"/>
      <c r="E347" s="100"/>
      <c r="F347" s="128"/>
      <c r="G347" s="30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104"/>
      <c r="B348" s="104"/>
      <c r="C348" s="105"/>
      <c r="D348" s="106"/>
      <c r="E348" s="107"/>
      <c r="F348" s="128"/>
      <c r="G348" s="30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8.75" customHeight="1">
      <c r="A349" s="97"/>
      <c r="B349" s="97"/>
      <c r="C349" s="98"/>
      <c r="D349" s="99"/>
      <c r="E349" s="100"/>
      <c r="F349" s="128"/>
      <c r="G349" s="30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104"/>
      <c r="B350" s="104"/>
      <c r="C350" s="105"/>
      <c r="D350" s="106"/>
      <c r="E350" s="107"/>
      <c r="F350" s="128"/>
      <c r="G350" s="30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97"/>
      <c r="B351" s="97"/>
      <c r="C351" s="98"/>
      <c r="D351" s="99"/>
      <c r="E351" s="100"/>
      <c r="F351" s="128"/>
      <c r="G351" s="30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104"/>
      <c r="B352" s="104"/>
      <c r="C352" s="105"/>
      <c r="D352" s="106"/>
      <c r="E352" s="107"/>
      <c r="F352" s="128"/>
      <c r="G352" s="30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97"/>
      <c r="B353" s="97"/>
      <c r="C353" s="98"/>
      <c r="D353" s="99"/>
      <c r="E353" s="100"/>
      <c r="F353" s="128"/>
      <c r="G353" s="30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104"/>
      <c r="B354" s="104"/>
      <c r="C354" s="105"/>
      <c r="D354" s="106"/>
      <c r="E354" s="107"/>
      <c r="F354" s="128"/>
      <c r="G354" s="30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97"/>
      <c r="B355" s="97"/>
      <c r="C355" s="98"/>
      <c r="D355" s="99"/>
      <c r="E355" s="100"/>
      <c r="F355" s="128"/>
      <c r="G355" s="30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104"/>
      <c r="B356" s="104"/>
      <c r="C356" s="105"/>
      <c r="D356" s="106"/>
      <c r="E356" s="107"/>
      <c r="F356" s="128"/>
      <c r="G356" s="30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97"/>
      <c r="B357" s="97"/>
      <c r="C357" s="98"/>
      <c r="D357" s="99"/>
      <c r="E357" s="100"/>
      <c r="F357" s="128"/>
      <c r="G357" s="30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104"/>
      <c r="B358" s="104"/>
      <c r="C358" s="105"/>
      <c r="D358" s="106"/>
      <c r="E358" s="107"/>
      <c r="F358" s="128"/>
      <c r="G358" s="30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97"/>
      <c r="B359" s="97"/>
      <c r="C359" s="98"/>
      <c r="D359" s="99"/>
      <c r="E359" s="100"/>
      <c r="F359" s="128"/>
      <c r="G359" s="30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104"/>
      <c r="B360" s="104"/>
      <c r="C360" s="105"/>
      <c r="D360" s="106"/>
      <c r="E360" s="107"/>
      <c r="F360" s="128"/>
      <c r="G360" s="30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97"/>
      <c r="B361" s="97"/>
      <c r="C361" s="98"/>
      <c r="D361" s="99"/>
      <c r="E361" s="100"/>
      <c r="F361" s="128"/>
      <c r="G361" s="30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104"/>
      <c r="B362" s="104"/>
      <c r="C362" s="105"/>
      <c r="D362" s="106"/>
      <c r="E362" s="107"/>
      <c r="F362" s="128"/>
      <c r="G362" s="30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97"/>
      <c r="B363" s="97"/>
      <c r="C363" s="98"/>
      <c r="D363" s="99"/>
      <c r="E363" s="100"/>
      <c r="F363" s="128"/>
      <c r="G363" s="30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104"/>
      <c r="B364" s="104"/>
      <c r="C364" s="105"/>
      <c r="D364" s="106"/>
      <c r="E364" s="107"/>
      <c r="F364" s="128"/>
      <c r="G364" s="30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97"/>
      <c r="B365" s="97"/>
      <c r="C365" s="98"/>
      <c r="D365" s="99"/>
      <c r="E365" s="100"/>
      <c r="F365" s="128"/>
      <c r="G365" s="30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104"/>
      <c r="B366" s="104"/>
      <c r="C366" s="105"/>
      <c r="D366" s="106"/>
      <c r="E366" s="107"/>
      <c r="F366" s="128"/>
      <c r="G366" s="30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97"/>
      <c r="B367" s="97"/>
      <c r="C367" s="98"/>
      <c r="D367" s="99"/>
      <c r="E367" s="100"/>
      <c r="F367" s="128"/>
      <c r="G367" s="30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104"/>
      <c r="B368" s="104"/>
      <c r="C368" s="105"/>
      <c r="D368" s="106"/>
      <c r="E368" s="107"/>
      <c r="F368" s="128"/>
      <c r="G368" s="30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97"/>
      <c r="B369" s="97"/>
      <c r="C369" s="98"/>
      <c r="D369" s="99"/>
      <c r="E369" s="100"/>
      <c r="F369" s="128"/>
      <c r="G369" s="30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104"/>
      <c r="B370" s="104"/>
      <c r="C370" s="105"/>
      <c r="D370" s="106"/>
      <c r="E370" s="107"/>
      <c r="F370" s="128"/>
      <c r="G370" s="30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97"/>
      <c r="B371" s="97"/>
      <c r="C371" s="98"/>
      <c r="D371" s="99"/>
      <c r="E371" s="100"/>
      <c r="F371" s="128"/>
      <c r="G371" s="30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104"/>
      <c r="B372" s="104"/>
      <c r="C372" s="105"/>
      <c r="D372" s="106"/>
      <c r="E372" s="107"/>
      <c r="F372" s="128"/>
      <c r="G372" s="30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97"/>
      <c r="B373" s="97"/>
      <c r="C373" s="98"/>
      <c r="D373" s="99"/>
      <c r="E373" s="100"/>
      <c r="F373" s="128"/>
      <c r="G373" s="30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104"/>
      <c r="B374" s="104"/>
      <c r="C374" s="105"/>
      <c r="D374" s="106"/>
      <c r="E374" s="107"/>
      <c r="F374" s="128"/>
      <c r="G374" s="30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97"/>
      <c r="B375" s="97"/>
      <c r="C375" s="98"/>
      <c r="D375" s="99"/>
      <c r="E375" s="100"/>
      <c r="F375" s="128"/>
      <c r="G375" s="131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104"/>
      <c r="B376" s="104"/>
      <c r="C376" s="105"/>
      <c r="D376" s="106"/>
      <c r="E376" s="107"/>
      <c r="F376" s="128"/>
      <c r="G376" s="13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97"/>
      <c r="B377" s="97"/>
      <c r="C377" s="98"/>
      <c r="D377" s="99"/>
      <c r="E377" s="100"/>
      <c r="F377" s="12"/>
      <c r="G377" s="131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104"/>
      <c r="B378" s="104"/>
      <c r="C378" s="105"/>
      <c r="D378" s="106"/>
      <c r="E378" s="107"/>
      <c r="F378" s="12"/>
      <c r="G378" s="13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98"/>
      <c r="B379" s="98"/>
      <c r="C379" s="98"/>
      <c r="D379" s="99"/>
      <c r="E379" s="100"/>
      <c r="F379" s="12"/>
      <c r="G379" s="131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105"/>
      <c r="B380" s="105"/>
      <c r="C380" s="105"/>
      <c r="D380" s="106"/>
      <c r="E380" s="107"/>
      <c r="F380" s="12"/>
      <c r="G380" s="13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98"/>
      <c r="B381" s="98"/>
      <c r="C381" s="98"/>
      <c r="D381" s="99"/>
      <c r="E381" s="100"/>
      <c r="F381" s="12"/>
      <c r="G381" s="131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105"/>
      <c r="B382" s="105"/>
      <c r="C382" s="105"/>
      <c r="D382" s="106"/>
      <c r="E382" s="107"/>
      <c r="F382" s="12"/>
      <c r="G382" s="13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98"/>
      <c r="B383" s="98"/>
      <c r="C383" s="98"/>
      <c r="D383" s="99"/>
      <c r="E383" s="100"/>
      <c r="F383" s="12"/>
      <c r="G383" s="131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105"/>
      <c r="B384" s="105"/>
      <c r="C384" s="105"/>
      <c r="D384" s="106"/>
      <c r="E384" s="107"/>
      <c r="F384" s="128"/>
      <c r="G384" s="13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98"/>
      <c r="B385" s="98"/>
      <c r="C385" s="98"/>
      <c r="D385" s="99"/>
      <c r="E385" s="100"/>
      <c r="F385" s="128"/>
      <c r="G385" s="131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105"/>
      <c r="B386" s="105"/>
      <c r="C386" s="105"/>
      <c r="D386" s="106"/>
      <c r="E386" s="107"/>
      <c r="F386" s="128"/>
      <c r="G386" s="30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98"/>
      <c r="B387" s="98"/>
      <c r="C387" s="98"/>
      <c r="D387" s="99"/>
      <c r="E387" s="100"/>
      <c r="F387" s="128"/>
      <c r="G387" s="30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105"/>
      <c r="B388" s="105"/>
      <c r="C388" s="105"/>
      <c r="D388" s="106"/>
      <c r="E388" s="107"/>
      <c r="F388" s="128"/>
      <c r="G388" s="30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98"/>
      <c r="B389" s="98"/>
      <c r="C389" s="98"/>
      <c r="D389" s="99"/>
      <c r="E389" s="100"/>
      <c r="F389" s="128"/>
      <c r="G389" s="30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105"/>
      <c r="B390" s="105"/>
      <c r="C390" s="105"/>
      <c r="D390" s="106"/>
      <c r="E390" s="107"/>
      <c r="F390" s="128"/>
      <c r="G390" s="30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98"/>
      <c r="B391" s="98"/>
      <c r="C391" s="98"/>
      <c r="D391" s="99"/>
      <c r="E391" s="100"/>
      <c r="F391" s="128"/>
      <c r="G391" s="30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105"/>
      <c r="B392" s="105"/>
      <c r="C392" s="105"/>
      <c r="D392" s="106"/>
      <c r="E392" s="107"/>
      <c r="F392" s="128"/>
      <c r="G392" s="30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98"/>
      <c r="B393" s="98"/>
      <c r="C393" s="98"/>
      <c r="D393" s="99"/>
      <c r="E393" s="100"/>
      <c r="F393" s="128"/>
      <c r="G393" s="30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105"/>
      <c r="B394" s="105"/>
      <c r="C394" s="105"/>
      <c r="D394" s="106"/>
      <c r="E394" s="107"/>
      <c r="F394" s="128"/>
      <c r="G394" s="30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98"/>
      <c r="B395" s="98"/>
      <c r="C395" s="98"/>
      <c r="D395" s="99"/>
      <c r="E395" s="100"/>
      <c r="F395" s="102">
        <f>SUM(D338:D398)</f>
        <v>0</v>
      </c>
      <c r="G395" s="10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105"/>
      <c r="B396" s="105"/>
      <c r="C396" s="105"/>
      <c r="D396" s="106"/>
      <c r="E396" s="107"/>
      <c r="F396" s="69">
        <f>SUM(E338:E398)</f>
        <v>0</v>
      </c>
      <c r="G396" s="10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98"/>
      <c r="B397" s="98"/>
      <c r="C397" s="98"/>
      <c r="D397" s="99"/>
      <c r="E397" s="100"/>
      <c r="F397" s="173" t="s">
        <v>152</v>
      </c>
      <c r="G397" s="72">
        <f t="array" ref="G397">F396-F395</f>
        <v>0</v>
      </c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105"/>
      <c r="B398" s="105"/>
      <c r="C398" s="105"/>
      <c r="D398" s="106"/>
      <c r="E398" s="107"/>
      <c r="F398" s="175" t="s">
        <v>151</v>
      </c>
      <c r="G398" s="149">
        <f>SUM(C338:C398)</f>
        <v>0</v>
      </c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98"/>
      <c r="B399" s="98"/>
      <c r="C399" s="98"/>
      <c r="D399" s="99"/>
      <c r="E399" s="100"/>
      <c r="F399" s="128"/>
      <c r="G399" s="30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105"/>
      <c r="B400" s="105"/>
      <c r="C400" s="105"/>
      <c r="D400" s="106"/>
      <c r="E400" s="107"/>
      <c r="F400" s="128"/>
      <c r="G400" s="30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98"/>
      <c r="B401" s="98"/>
      <c r="C401" s="98"/>
      <c r="D401" s="99"/>
      <c r="E401" s="100"/>
      <c r="F401" s="128"/>
      <c r="G401" s="30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105"/>
      <c r="B402" s="105"/>
      <c r="C402" s="105"/>
      <c r="D402" s="106"/>
      <c r="E402" s="107"/>
      <c r="F402" s="128"/>
      <c r="G402" s="30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98"/>
      <c r="B403" s="98"/>
      <c r="C403" s="98"/>
      <c r="D403" s="99"/>
      <c r="E403" s="100"/>
      <c r="F403" s="128"/>
      <c r="G403" s="30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105"/>
      <c r="B404" s="105"/>
      <c r="C404" s="105"/>
      <c r="D404" s="106"/>
      <c r="E404" s="107"/>
      <c r="F404" s="128"/>
      <c r="G404" s="30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98"/>
      <c r="B405" s="98"/>
      <c r="C405" s="98"/>
      <c r="D405" s="99"/>
      <c r="E405" s="100"/>
      <c r="F405" s="128"/>
      <c r="G405" s="30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98"/>
      <c r="B406" s="98"/>
      <c r="C406" s="98"/>
      <c r="D406" s="99"/>
      <c r="E406" s="107"/>
      <c r="F406" s="128"/>
      <c r="G406" s="30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98"/>
      <c r="B407" s="98"/>
      <c r="C407" s="98"/>
      <c r="D407" s="99"/>
      <c r="E407" s="100"/>
      <c r="F407" s="128"/>
      <c r="G407" s="30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105"/>
      <c r="B408" s="105"/>
      <c r="C408" s="105"/>
      <c r="D408" s="106"/>
      <c r="E408" s="107"/>
      <c r="F408" s="128"/>
      <c r="G408" s="30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98"/>
      <c r="B409" s="98"/>
      <c r="C409" s="98"/>
      <c r="D409" s="99"/>
      <c r="E409" s="100"/>
      <c r="F409" s="128"/>
      <c r="G409" s="30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105"/>
      <c r="B410" s="105"/>
      <c r="C410" s="105"/>
      <c r="D410" s="106"/>
      <c r="E410" s="107"/>
      <c r="F410" s="128"/>
      <c r="G410" s="30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98"/>
      <c r="B411" s="98"/>
      <c r="C411" s="98"/>
      <c r="D411" s="99"/>
      <c r="E411" s="100"/>
      <c r="F411" s="128"/>
      <c r="G411" s="30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105"/>
      <c r="B412" s="105"/>
      <c r="C412" s="105"/>
      <c r="D412" s="106"/>
      <c r="E412" s="107"/>
      <c r="F412" s="128"/>
      <c r="G412" s="30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98"/>
      <c r="B413" s="98"/>
      <c r="C413" s="98"/>
      <c r="D413" s="99"/>
      <c r="E413" s="100"/>
      <c r="F413" s="128"/>
      <c r="G413" s="30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105"/>
      <c r="B414" s="105"/>
      <c r="C414" s="105"/>
      <c r="D414" s="106"/>
      <c r="E414" s="107"/>
      <c r="F414" s="128"/>
      <c r="G414" s="30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98"/>
      <c r="B415" s="98"/>
      <c r="C415" s="98"/>
      <c r="D415" s="99"/>
      <c r="E415" s="100"/>
      <c r="F415" s="128"/>
      <c r="G415" s="30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105"/>
      <c r="B416" s="105"/>
      <c r="C416" s="105"/>
      <c r="D416" s="106"/>
      <c r="E416" s="107"/>
      <c r="F416" s="128"/>
      <c r="G416" s="30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98"/>
      <c r="B417" s="98"/>
      <c r="C417" s="98"/>
      <c r="D417" s="99"/>
      <c r="E417" s="100"/>
      <c r="F417" s="128"/>
      <c r="G417" s="30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105"/>
      <c r="B418" s="105"/>
      <c r="C418" s="105"/>
      <c r="D418" s="106"/>
      <c r="E418" s="107"/>
      <c r="F418" s="128"/>
      <c r="G418" s="30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98"/>
      <c r="B419" s="98"/>
      <c r="C419" s="98"/>
      <c r="D419" s="99"/>
      <c r="E419" s="100"/>
      <c r="F419" s="128"/>
      <c r="G419" s="30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105"/>
      <c r="B420" s="105"/>
      <c r="C420" s="105"/>
      <c r="D420" s="106"/>
      <c r="E420" s="107"/>
      <c r="F420" s="128"/>
      <c r="G420" s="30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98"/>
      <c r="B421" s="98"/>
      <c r="C421" s="98"/>
      <c r="D421" s="99"/>
      <c r="E421" s="100"/>
      <c r="F421" s="128"/>
      <c r="G421" s="30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105"/>
      <c r="B422" s="105"/>
      <c r="C422" s="105"/>
      <c r="D422" s="106"/>
      <c r="E422" s="107"/>
      <c r="F422" s="128"/>
      <c r="G422" s="30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98"/>
      <c r="B423" s="98"/>
      <c r="C423" s="98"/>
      <c r="D423" s="99"/>
      <c r="E423" s="100"/>
      <c r="F423" s="128"/>
      <c r="G423" s="30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105"/>
      <c r="B424" s="105"/>
      <c r="C424" s="105"/>
      <c r="D424" s="106"/>
      <c r="E424" s="107"/>
      <c r="F424" s="128"/>
      <c r="G424" s="30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98"/>
      <c r="B425" s="98"/>
      <c r="C425" s="98"/>
      <c r="D425" s="99"/>
      <c r="E425" s="100"/>
      <c r="F425" s="128"/>
      <c r="G425" s="30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105"/>
      <c r="B426" s="105"/>
      <c r="C426" s="105"/>
      <c r="D426" s="106"/>
      <c r="E426" s="107"/>
      <c r="F426" s="128"/>
      <c r="G426" s="30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98"/>
      <c r="B427" s="98"/>
      <c r="C427" s="98"/>
      <c r="D427" s="99"/>
      <c r="E427" s="100"/>
      <c r="F427" s="128"/>
      <c r="G427" s="30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105"/>
      <c r="B428" s="105"/>
      <c r="C428" s="105"/>
      <c r="D428" s="106"/>
      <c r="E428" s="107"/>
      <c r="F428" s="128"/>
      <c r="G428" s="30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98"/>
      <c r="B429" s="98"/>
      <c r="C429" s="98"/>
      <c r="D429" s="99"/>
      <c r="E429" s="100"/>
      <c r="F429" s="128"/>
      <c r="G429" s="30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105"/>
      <c r="B430" s="105"/>
      <c r="C430" s="105"/>
      <c r="D430" s="106"/>
      <c r="E430" s="107"/>
      <c r="F430" s="128"/>
      <c r="G430" s="30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98"/>
      <c r="B431" s="98"/>
      <c r="C431" s="98"/>
      <c r="D431" s="99"/>
      <c r="E431" s="100"/>
      <c r="F431" s="128"/>
      <c r="G431" s="30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105"/>
      <c r="B432" s="105"/>
      <c r="C432" s="105"/>
      <c r="D432" s="106"/>
      <c r="E432" s="107"/>
      <c r="F432" s="102">
        <f>SUM(D399:D435)</f>
        <v>0</v>
      </c>
      <c r="G432" s="10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98"/>
      <c r="B433" s="98"/>
      <c r="C433" s="98"/>
      <c r="D433" s="99"/>
      <c r="E433" s="100"/>
      <c r="F433" s="69">
        <f>SUM(E399:E435)</f>
        <v>0</v>
      </c>
      <c r="G433" s="10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98"/>
      <c r="B434" s="98"/>
      <c r="C434" s="98"/>
      <c r="D434" s="99"/>
      <c r="E434" s="100"/>
      <c r="F434" s="173" t="s">
        <v>88</v>
      </c>
      <c r="G434" s="72">
        <f t="array" ref="G434">F433-F432</f>
        <v>0</v>
      </c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98"/>
      <c r="B435" s="98"/>
      <c r="C435" s="98"/>
      <c r="D435" s="99"/>
      <c r="E435" s="100"/>
      <c r="F435" s="175" t="s">
        <v>151</v>
      </c>
      <c r="G435" s="149">
        <f>SUM(C399:C435)</f>
        <v>0</v>
      </c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98"/>
      <c r="B436" s="98"/>
      <c r="C436" s="98"/>
      <c r="D436" s="99"/>
      <c r="E436" s="100"/>
      <c r="F436" s="128"/>
      <c r="G436" s="30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98"/>
      <c r="B437" s="98"/>
      <c r="C437" s="98"/>
      <c r="D437" s="99"/>
      <c r="E437" s="100"/>
      <c r="F437" s="128"/>
      <c r="G437" s="30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98"/>
      <c r="B438" s="98"/>
      <c r="C438" s="98"/>
      <c r="D438" s="99"/>
      <c r="E438" s="100"/>
      <c r="F438" s="128"/>
      <c r="G438" s="30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98"/>
      <c r="B439" s="98"/>
      <c r="C439" s="98"/>
      <c r="D439" s="99"/>
      <c r="E439" s="100"/>
      <c r="F439" s="128"/>
      <c r="G439" s="30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98"/>
      <c r="B440" s="98"/>
      <c r="C440" s="98"/>
      <c r="D440" s="99"/>
      <c r="E440" s="100"/>
      <c r="F440" s="128"/>
      <c r="G440" s="30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98"/>
      <c r="B441" s="98"/>
      <c r="C441" s="98"/>
      <c r="D441" s="99"/>
      <c r="E441" s="100"/>
      <c r="F441" s="128"/>
      <c r="G441" s="30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105"/>
      <c r="B442" s="105"/>
      <c r="C442" s="105"/>
      <c r="D442" s="106"/>
      <c r="E442" s="107"/>
      <c r="F442" s="128"/>
      <c r="G442" s="30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105"/>
      <c r="B443" s="105"/>
      <c r="C443" s="105"/>
      <c r="D443" s="106"/>
      <c r="E443" s="107"/>
      <c r="F443" s="128"/>
      <c r="G443" s="30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105"/>
      <c r="B444" s="105"/>
      <c r="C444" s="105"/>
      <c r="D444" s="106"/>
      <c r="E444" s="107"/>
      <c r="F444" s="128"/>
      <c r="G444" s="30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105"/>
      <c r="B445" s="105"/>
      <c r="C445" s="105"/>
      <c r="D445" s="106"/>
      <c r="E445" s="107"/>
      <c r="F445" s="128"/>
      <c r="G445" s="30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105"/>
      <c r="B446" s="105"/>
      <c r="C446" s="105"/>
      <c r="D446" s="106"/>
      <c r="E446" s="107"/>
      <c r="F446" s="128"/>
      <c r="G446" s="30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105"/>
      <c r="B447" s="105"/>
      <c r="C447" s="105"/>
      <c r="D447" s="106"/>
      <c r="E447" s="107"/>
      <c r="F447" s="128"/>
      <c r="G447" s="30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105"/>
      <c r="B448" s="105"/>
      <c r="C448" s="105"/>
      <c r="D448" s="106"/>
      <c r="E448" s="107"/>
      <c r="F448" s="128"/>
      <c r="G448" s="30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105"/>
      <c r="B449" s="105"/>
      <c r="C449" s="105"/>
      <c r="D449" s="106"/>
      <c r="E449" s="107"/>
      <c r="F449" s="128"/>
      <c r="G449" s="30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105"/>
      <c r="B450" s="105"/>
      <c r="C450" s="105"/>
      <c r="D450" s="106"/>
      <c r="E450" s="107"/>
      <c r="F450" s="128"/>
      <c r="G450" s="30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105"/>
      <c r="B451" s="105"/>
      <c r="C451" s="105"/>
      <c r="D451" s="106"/>
      <c r="E451" s="107"/>
      <c r="F451" s="128"/>
      <c r="G451" s="30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105"/>
      <c r="B452" s="105"/>
      <c r="C452" s="105"/>
      <c r="D452" s="106"/>
      <c r="E452" s="107"/>
      <c r="F452" s="128"/>
      <c r="G452" s="30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105"/>
      <c r="B453" s="105"/>
      <c r="C453" s="105"/>
      <c r="D453" s="106"/>
      <c r="E453" s="107"/>
      <c r="F453" s="128"/>
      <c r="G453" s="30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105"/>
      <c r="B454" s="105"/>
      <c r="C454" s="105"/>
      <c r="D454" s="106"/>
      <c r="E454" s="107"/>
      <c r="F454" s="128"/>
      <c r="G454" s="30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105"/>
      <c r="B455" s="105"/>
      <c r="C455" s="105"/>
      <c r="D455" s="106"/>
      <c r="E455" s="107"/>
      <c r="F455" s="128"/>
      <c r="G455" s="30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105"/>
      <c r="B456" s="105"/>
      <c r="C456" s="105"/>
      <c r="D456" s="106"/>
      <c r="E456" s="107"/>
      <c r="F456" s="128"/>
      <c r="G456" s="30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105"/>
      <c r="B457" s="105"/>
      <c r="C457" s="105"/>
      <c r="D457" s="106"/>
      <c r="E457" s="107"/>
      <c r="F457" s="128"/>
      <c r="G457" s="30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105"/>
      <c r="B458" s="105"/>
      <c r="C458" s="105"/>
      <c r="D458" s="106"/>
      <c r="E458" s="107"/>
      <c r="F458" s="128"/>
      <c r="G458" s="30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105"/>
      <c r="B459" s="105"/>
      <c r="C459" s="105"/>
      <c r="D459" s="106"/>
      <c r="E459" s="107"/>
      <c r="F459" s="128"/>
      <c r="G459" s="30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105"/>
      <c r="B460" s="105"/>
      <c r="C460" s="105"/>
      <c r="D460" s="106"/>
      <c r="E460" s="107"/>
      <c r="F460" s="128"/>
      <c r="G460" s="30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105"/>
      <c r="B461" s="105"/>
      <c r="C461" s="105"/>
      <c r="D461" s="106"/>
      <c r="E461" s="107"/>
      <c r="F461" s="128"/>
      <c r="G461" s="30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105"/>
      <c r="B462" s="105"/>
      <c r="C462" s="105"/>
      <c r="D462" s="106"/>
      <c r="E462" s="107"/>
      <c r="F462" s="128"/>
      <c r="G462" s="30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105"/>
      <c r="B463" s="105"/>
      <c r="C463" s="105"/>
      <c r="D463" s="106"/>
      <c r="E463" s="107"/>
      <c r="F463" s="128"/>
      <c r="G463" s="30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105"/>
      <c r="B464" s="105"/>
      <c r="C464" s="105"/>
      <c r="D464" s="106"/>
      <c r="E464" s="107"/>
      <c r="F464" s="128"/>
      <c r="G464" s="30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105"/>
      <c r="B465" s="105"/>
      <c r="C465" s="105"/>
      <c r="D465" s="106"/>
      <c r="E465" s="107"/>
      <c r="F465" s="128"/>
      <c r="G465" s="30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105"/>
      <c r="B466" s="105"/>
      <c r="C466" s="105"/>
      <c r="D466" s="106"/>
      <c r="E466" s="107"/>
      <c r="F466" s="128"/>
      <c r="G466" s="30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105"/>
      <c r="B467" s="105"/>
      <c r="C467" s="105"/>
      <c r="D467" s="106"/>
      <c r="E467" s="107"/>
      <c r="F467" s="128"/>
      <c r="G467" s="30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105"/>
      <c r="B468" s="105"/>
      <c r="C468" s="105"/>
      <c r="D468" s="106"/>
      <c r="E468" s="107"/>
      <c r="F468" s="128"/>
      <c r="G468" s="30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105"/>
      <c r="B469" s="105"/>
      <c r="C469" s="105"/>
      <c r="D469" s="106"/>
      <c r="E469" s="107"/>
      <c r="F469" s="128"/>
      <c r="G469" s="30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105"/>
      <c r="B470" s="105"/>
      <c r="C470" s="105"/>
      <c r="D470" s="106"/>
      <c r="E470" s="107"/>
      <c r="F470" s="128"/>
      <c r="G470" s="30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105"/>
      <c r="B471" s="105"/>
      <c r="C471" s="105"/>
      <c r="D471" s="106"/>
      <c r="E471" s="107"/>
      <c r="F471" s="128"/>
      <c r="G471" s="30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105"/>
      <c r="B472" s="105"/>
      <c r="C472" s="105"/>
      <c r="D472" s="106"/>
      <c r="E472" s="107"/>
      <c r="F472" s="128"/>
      <c r="G472" s="30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105"/>
      <c r="B473" s="105"/>
      <c r="C473" s="105"/>
      <c r="D473" s="106"/>
      <c r="E473" s="107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105"/>
      <c r="B474" s="105"/>
      <c r="C474" s="105"/>
      <c r="D474" s="106"/>
      <c r="E474" s="107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105"/>
      <c r="B475" s="105"/>
      <c r="C475" s="105"/>
      <c r="D475" s="106"/>
      <c r="E475" s="107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105"/>
      <c r="B476" s="105"/>
      <c r="C476" s="105"/>
      <c r="D476" s="106"/>
      <c r="E476" s="107"/>
      <c r="F476" s="102">
        <f>SUM(D436:D479)</f>
        <v>0</v>
      </c>
      <c r="G476" s="10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105"/>
      <c r="B477" s="105"/>
      <c r="C477" s="105"/>
      <c r="D477" s="106"/>
      <c r="E477" s="107"/>
      <c r="F477" s="69">
        <f>SUM(E436:E479)</f>
        <v>0</v>
      </c>
      <c r="G477" s="10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105"/>
      <c r="B478" s="105"/>
      <c r="C478" s="105"/>
      <c r="D478" s="106"/>
      <c r="E478" s="107"/>
      <c r="F478" s="173" t="s">
        <v>121</v>
      </c>
      <c r="G478" s="72">
        <f t="array" ref="G478">F477-F476</f>
        <v>0</v>
      </c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105"/>
      <c r="B479" s="105"/>
      <c r="C479" s="105"/>
      <c r="D479" s="106"/>
      <c r="E479" s="107"/>
      <c r="F479" s="175" t="s">
        <v>151</v>
      </c>
      <c r="G479" s="149">
        <f>SUM(C436:C479)</f>
        <v>0</v>
      </c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105"/>
      <c r="B480" s="105"/>
      <c r="C480" s="105"/>
      <c r="D480" s="106"/>
      <c r="E480" s="107"/>
      <c r="F480" s="128"/>
      <c r="G480" s="30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105"/>
      <c r="B481" s="105"/>
      <c r="C481" s="105"/>
      <c r="D481" s="106"/>
      <c r="E481" s="107"/>
      <c r="F481" s="128"/>
      <c r="G481" s="30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105"/>
      <c r="B482" s="105"/>
      <c r="C482" s="105"/>
      <c r="D482" s="106"/>
      <c r="E482" s="107"/>
      <c r="F482" s="128"/>
      <c r="G482" s="30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98"/>
      <c r="B483" s="98"/>
      <c r="C483" s="98"/>
      <c r="D483" s="99"/>
      <c r="E483" s="100"/>
      <c r="F483" s="128"/>
      <c r="G483" s="30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105"/>
      <c r="B484" s="105"/>
      <c r="C484" s="105"/>
      <c r="D484" s="106"/>
      <c r="E484" s="107"/>
      <c r="F484" s="128"/>
      <c r="G484" s="30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98"/>
      <c r="B485" s="98"/>
      <c r="C485" s="98"/>
      <c r="D485" s="99"/>
      <c r="E485" s="100"/>
      <c r="F485" s="128"/>
      <c r="G485" s="30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105"/>
      <c r="B486" s="105"/>
      <c r="C486" s="105"/>
      <c r="D486" s="106"/>
      <c r="E486" s="107"/>
      <c r="F486" s="128"/>
      <c r="G486" s="30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98"/>
      <c r="B487" s="98"/>
      <c r="C487" s="98"/>
      <c r="D487" s="99"/>
      <c r="E487" s="100"/>
      <c r="F487" s="128"/>
      <c r="G487" s="30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105"/>
      <c r="B488" s="105"/>
      <c r="C488" s="105"/>
      <c r="D488" s="106"/>
      <c r="E488" s="107"/>
      <c r="F488" s="128"/>
      <c r="G488" s="30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98"/>
      <c r="B489" s="98"/>
      <c r="C489" s="98"/>
      <c r="D489" s="99"/>
      <c r="E489" s="100"/>
      <c r="F489" s="128"/>
      <c r="G489" s="30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105"/>
      <c r="B490" s="105"/>
      <c r="C490" s="105"/>
      <c r="D490" s="106"/>
      <c r="E490" s="107"/>
      <c r="F490" s="128"/>
      <c r="G490" s="30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98"/>
      <c r="B491" s="98"/>
      <c r="C491" s="98"/>
      <c r="D491" s="99"/>
      <c r="E491" s="100"/>
      <c r="F491" s="128"/>
      <c r="G491" s="30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98"/>
      <c r="B492" s="98"/>
      <c r="C492" s="98"/>
      <c r="D492" s="99"/>
      <c r="E492" s="100"/>
      <c r="F492" s="128"/>
      <c r="G492" s="30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98"/>
      <c r="B493" s="98"/>
      <c r="C493" s="98"/>
      <c r="D493" s="99"/>
      <c r="E493" s="100"/>
      <c r="F493" s="128"/>
      <c r="G493" s="30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98"/>
      <c r="B494" s="98"/>
      <c r="C494" s="98"/>
      <c r="D494" s="99"/>
      <c r="E494" s="100"/>
      <c r="F494" s="128"/>
      <c r="G494" s="30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98"/>
      <c r="B495" s="98"/>
      <c r="C495" s="98"/>
      <c r="D495" s="99"/>
      <c r="E495" s="100"/>
      <c r="F495" s="128"/>
      <c r="G495" s="30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98"/>
      <c r="B496" s="98"/>
      <c r="C496" s="98"/>
      <c r="D496" s="99"/>
      <c r="E496" s="100"/>
      <c r="F496" s="128"/>
      <c r="G496" s="30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98"/>
      <c r="B497" s="98"/>
      <c r="C497" s="98"/>
      <c r="D497" s="99"/>
      <c r="E497" s="100"/>
      <c r="F497" s="174"/>
      <c r="G497" s="17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98"/>
      <c r="B498" s="98"/>
      <c r="C498" s="98"/>
      <c r="D498" s="99"/>
      <c r="E498" s="100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98"/>
      <c r="B499" s="98"/>
      <c r="C499" s="98"/>
      <c r="D499" s="99"/>
      <c r="E499" s="100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98"/>
      <c r="B500" s="98"/>
      <c r="C500" s="98"/>
      <c r="D500" s="99"/>
      <c r="E500" s="100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98"/>
      <c r="B501" s="98"/>
      <c r="C501" s="98"/>
      <c r="D501" s="99"/>
      <c r="E501" s="100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98"/>
      <c r="B502" s="98"/>
      <c r="C502" s="98"/>
      <c r="D502" s="99"/>
      <c r="E502" s="100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98"/>
      <c r="B503" s="98"/>
      <c r="C503" s="98"/>
      <c r="D503" s="99"/>
      <c r="E503" s="100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98"/>
      <c r="B504" s="98"/>
      <c r="C504" s="98"/>
      <c r="D504" s="99"/>
      <c r="E504" s="100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98"/>
      <c r="B505" s="98"/>
      <c r="C505" s="98"/>
      <c r="D505" s="99"/>
      <c r="E505" s="100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98"/>
      <c r="B506" s="98"/>
      <c r="C506" s="98"/>
      <c r="D506" s="99"/>
      <c r="E506" s="100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98"/>
      <c r="B507" s="98"/>
      <c r="C507" s="98"/>
      <c r="D507" s="99"/>
      <c r="E507" s="100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98"/>
      <c r="B508" s="98"/>
      <c r="C508" s="98"/>
      <c r="D508" s="99"/>
      <c r="E508" s="100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98"/>
      <c r="B509" s="98"/>
      <c r="C509" s="98"/>
      <c r="D509" s="99"/>
      <c r="E509" s="100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98"/>
      <c r="B510" s="98"/>
      <c r="C510" s="98"/>
      <c r="D510" s="99"/>
      <c r="E510" s="100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98"/>
      <c r="B511" s="98"/>
      <c r="C511" s="98"/>
      <c r="D511" s="99"/>
      <c r="E511" s="100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98"/>
      <c r="B512" s="98"/>
      <c r="C512" s="98"/>
      <c r="D512" s="99"/>
      <c r="E512" s="100"/>
      <c r="F512" s="102">
        <f>SUM(D480:D515)</f>
        <v>0</v>
      </c>
      <c r="G512" s="128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98"/>
      <c r="B513" s="98"/>
      <c r="C513" s="98"/>
      <c r="D513" s="99"/>
      <c r="E513" s="100"/>
      <c r="F513" s="69">
        <f>SUM(E480:E515)</f>
        <v>0</v>
      </c>
      <c r="G513" s="146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98"/>
      <c r="B514" s="98"/>
      <c r="C514" s="98"/>
      <c r="D514" s="99"/>
      <c r="E514" s="100"/>
      <c r="F514" s="173" t="s">
        <v>121</v>
      </c>
      <c r="G514" s="72">
        <f t="array" ref="G514">F513-F512</f>
        <v>0</v>
      </c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98"/>
      <c r="B515" s="98"/>
      <c r="C515" s="98"/>
      <c r="D515" s="99"/>
      <c r="E515" s="100"/>
      <c r="F515" s="175" t="s">
        <v>151</v>
      </c>
      <c r="G515" s="149">
        <f>SUM(C480:C515)</f>
        <v>0</v>
      </c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98"/>
      <c r="B516" s="98"/>
      <c r="C516" s="98"/>
      <c r="D516" s="99"/>
      <c r="E516" s="100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98"/>
      <c r="B517" s="98"/>
      <c r="C517" s="98"/>
      <c r="D517" s="99"/>
      <c r="E517" s="100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98"/>
      <c r="B518" s="98"/>
      <c r="C518" s="98"/>
      <c r="D518" s="99"/>
      <c r="E518" s="100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98"/>
      <c r="B519" s="98"/>
      <c r="C519" s="98"/>
      <c r="D519" s="99"/>
      <c r="E519" s="100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98"/>
      <c r="B520" s="98"/>
      <c r="C520" s="98"/>
      <c r="D520" s="99"/>
      <c r="E520" s="100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98"/>
      <c r="B521" s="98"/>
      <c r="C521" s="98"/>
      <c r="D521" s="99"/>
      <c r="E521" s="100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98"/>
      <c r="B522" s="98"/>
      <c r="C522" s="98"/>
      <c r="D522" s="99"/>
      <c r="E522" s="100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98"/>
      <c r="B523" s="98"/>
      <c r="C523" s="98"/>
      <c r="D523" s="99"/>
      <c r="E523" s="100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98"/>
      <c r="B524" s="98"/>
      <c r="C524" s="98"/>
      <c r="D524" s="99"/>
      <c r="E524" s="100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98"/>
      <c r="B525" s="98"/>
      <c r="C525" s="98"/>
      <c r="D525" s="99"/>
      <c r="E525" s="100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98"/>
      <c r="B526" s="98"/>
      <c r="C526" s="98"/>
      <c r="D526" s="99"/>
      <c r="E526" s="100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98"/>
      <c r="B527" s="98"/>
      <c r="C527" s="98"/>
      <c r="D527" s="99"/>
      <c r="E527" s="100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98"/>
      <c r="B528" s="98"/>
      <c r="C528" s="98"/>
      <c r="D528" s="99"/>
      <c r="E528" s="100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98"/>
      <c r="B529" s="98"/>
      <c r="C529" s="98"/>
      <c r="D529" s="99"/>
      <c r="E529" s="100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98"/>
      <c r="B530" s="98"/>
      <c r="C530" s="98"/>
      <c r="D530" s="99"/>
      <c r="E530" s="100"/>
      <c r="F530" s="102">
        <f>SUM(D516:D533)</f>
        <v>0</v>
      </c>
      <c r="G530" s="128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98"/>
      <c r="B531" s="98"/>
      <c r="C531" s="98"/>
      <c r="D531" s="99"/>
      <c r="E531" s="100"/>
      <c r="F531" s="69">
        <f>SUM(E516:E533)</f>
        <v>0</v>
      </c>
      <c r="G531" s="146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98"/>
      <c r="B532" s="98"/>
      <c r="C532" s="98"/>
      <c r="D532" s="99"/>
      <c r="E532" s="100"/>
      <c r="F532" s="173" t="s">
        <v>121</v>
      </c>
      <c r="G532" s="72">
        <f t="array" ref="G532">F531-F530</f>
        <v>0</v>
      </c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98"/>
      <c r="B533" s="98"/>
      <c r="C533" s="98"/>
      <c r="D533" s="99"/>
      <c r="E533" s="100"/>
      <c r="F533" s="175" t="s">
        <v>151</v>
      </c>
      <c r="G533" s="149">
        <f>SUM(C516:C533)</f>
        <v>0</v>
      </c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98"/>
      <c r="B534" s="98"/>
      <c r="C534" s="98"/>
      <c r="D534" s="99"/>
      <c r="E534" s="100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98"/>
      <c r="B535" s="98"/>
      <c r="C535" s="98"/>
      <c r="D535" s="99"/>
      <c r="E535" s="100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98"/>
      <c r="B536" s="98"/>
      <c r="C536" s="98"/>
      <c r="D536" s="99"/>
      <c r="E536" s="100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98"/>
      <c r="B537" s="98"/>
      <c r="C537" s="98"/>
      <c r="D537" s="99"/>
      <c r="E537" s="100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98"/>
      <c r="B538" s="98"/>
      <c r="C538" s="98"/>
      <c r="D538" s="99"/>
      <c r="E538" s="100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98"/>
      <c r="B539" s="98"/>
      <c r="C539" s="98"/>
      <c r="D539" s="99"/>
      <c r="E539" s="100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98"/>
      <c r="B540" s="98"/>
      <c r="C540" s="98"/>
      <c r="D540" s="99"/>
      <c r="E540" s="100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98"/>
      <c r="B541" s="98"/>
      <c r="C541" s="98"/>
      <c r="D541" s="99"/>
      <c r="E541" s="100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98"/>
      <c r="B542" s="98"/>
      <c r="C542" s="98"/>
      <c r="D542" s="99"/>
      <c r="E542" s="100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98"/>
      <c r="B543" s="98"/>
      <c r="C543" s="98"/>
      <c r="D543" s="99"/>
      <c r="E543" s="100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98"/>
      <c r="B544" s="98"/>
      <c r="C544" s="98"/>
      <c r="D544" s="99"/>
      <c r="E544" s="100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98"/>
      <c r="B545" s="98"/>
      <c r="C545" s="98"/>
      <c r="D545" s="99"/>
      <c r="E545" s="100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98"/>
      <c r="B546" s="98"/>
      <c r="C546" s="98"/>
      <c r="D546" s="99"/>
      <c r="E546" s="100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98"/>
      <c r="B547" s="98"/>
      <c r="C547" s="98"/>
      <c r="D547" s="99"/>
      <c r="E547" s="100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98"/>
      <c r="B548" s="98"/>
      <c r="C548" s="98"/>
      <c r="D548" s="99"/>
      <c r="E548" s="100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98"/>
      <c r="B549" s="98"/>
      <c r="C549" s="98"/>
      <c r="D549" s="99"/>
      <c r="E549" s="100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98"/>
      <c r="B550" s="98"/>
      <c r="C550" s="98"/>
      <c r="D550" s="99"/>
      <c r="E550" s="100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98"/>
      <c r="B551" s="98"/>
      <c r="C551" s="98"/>
      <c r="D551" s="99"/>
      <c r="E551" s="100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98"/>
      <c r="B552" s="98"/>
      <c r="C552" s="98"/>
      <c r="D552" s="99"/>
      <c r="E552" s="100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98"/>
      <c r="B553" s="98"/>
      <c r="C553" s="98"/>
      <c r="D553" s="99"/>
      <c r="E553" s="100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98"/>
      <c r="B554" s="98"/>
      <c r="C554" s="98"/>
      <c r="D554" s="99"/>
      <c r="E554" s="100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98"/>
      <c r="B555" s="98"/>
      <c r="C555" s="98"/>
      <c r="D555" s="99"/>
      <c r="E555" s="100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98"/>
      <c r="B556" s="98"/>
      <c r="C556" s="98"/>
      <c r="D556" s="99"/>
      <c r="E556" s="100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98"/>
      <c r="B557" s="98"/>
      <c r="C557" s="98"/>
      <c r="D557" s="99"/>
      <c r="E557" s="100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98"/>
      <c r="B558" s="98"/>
      <c r="C558" s="98"/>
      <c r="D558" s="99"/>
      <c r="E558" s="100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98"/>
      <c r="B559" s="98"/>
      <c r="C559" s="98"/>
      <c r="D559" s="99"/>
      <c r="E559" s="100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98"/>
      <c r="B560" s="98"/>
      <c r="C560" s="98"/>
      <c r="D560" s="99"/>
      <c r="E560" s="100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98"/>
      <c r="B561" s="98"/>
      <c r="C561" s="98"/>
      <c r="D561" s="99"/>
      <c r="E561" s="100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98"/>
      <c r="B562" s="98"/>
      <c r="C562" s="98"/>
      <c r="D562" s="99"/>
      <c r="E562" s="100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98"/>
      <c r="B563" s="98"/>
      <c r="C563" s="98"/>
      <c r="D563" s="99"/>
      <c r="E563" s="100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98"/>
      <c r="B564" s="98"/>
      <c r="C564" s="98"/>
      <c r="D564" s="99"/>
      <c r="E564" s="100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98"/>
      <c r="B565" s="98"/>
      <c r="C565" s="98"/>
      <c r="D565" s="99"/>
      <c r="E565" s="100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98"/>
      <c r="B566" s="98"/>
      <c r="C566" s="98"/>
      <c r="D566" s="99"/>
      <c r="E566" s="100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98"/>
      <c r="B567" s="98"/>
      <c r="C567" s="98"/>
      <c r="D567" s="99"/>
      <c r="E567" s="100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98"/>
      <c r="B568" s="98"/>
      <c r="C568" s="98"/>
      <c r="D568" s="99"/>
      <c r="E568" s="100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98"/>
      <c r="B569" s="98"/>
      <c r="C569" s="98"/>
      <c r="D569" s="99"/>
      <c r="E569" s="100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98"/>
      <c r="B570" s="98"/>
      <c r="C570" s="98"/>
      <c r="D570" s="99"/>
      <c r="E570" s="100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98"/>
      <c r="B571" s="98"/>
      <c r="C571" s="98"/>
      <c r="D571" s="99"/>
      <c r="E571" s="100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98"/>
      <c r="B572" s="98"/>
      <c r="C572" s="98"/>
      <c r="D572" s="99"/>
      <c r="E572" s="100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98"/>
      <c r="B573" s="98"/>
      <c r="C573" s="98"/>
      <c r="D573" s="99"/>
      <c r="E573" s="100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98"/>
      <c r="B574" s="98"/>
      <c r="C574" s="98"/>
      <c r="D574" s="99"/>
      <c r="E574" s="100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98"/>
      <c r="B575" s="98"/>
      <c r="C575" s="98"/>
      <c r="D575" s="99"/>
      <c r="E575" s="100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98"/>
      <c r="B576" s="98"/>
      <c r="C576" s="98"/>
      <c r="D576" s="99"/>
      <c r="E576" s="100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98"/>
      <c r="B577" s="98"/>
      <c r="C577" s="98"/>
      <c r="D577" s="99"/>
      <c r="E577" s="100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98"/>
      <c r="B578" s="98"/>
      <c r="C578" s="98"/>
      <c r="D578" s="99"/>
      <c r="E578" s="100"/>
      <c r="F578" s="102">
        <f>SUM(D534:D586)</f>
        <v>0</v>
      </c>
      <c r="G578" s="128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98"/>
      <c r="B579" s="98"/>
      <c r="C579" s="98"/>
      <c r="D579" s="99"/>
      <c r="E579" s="100"/>
      <c r="F579" s="69">
        <f>SUM(E534:E586)</f>
        <v>0</v>
      </c>
      <c r="G579" s="146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98"/>
      <c r="B580" s="98"/>
      <c r="C580" s="98"/>
      <c r="D580" s="99"/>
      <c r="E580" s="100"/>
      <c r="F580" s="173" t="s">
        <v>121</v>
      </c>
      <c r="G580" s="72">
        <f t="array" ref="G580">F579-F578</f>
        <v>0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253"/>
      <c r="B581" s="253"/>
      <c r="C581" s="253"/>
      <c r="D581" s="254"/>
      <c r="E581" s="255"/>
      <c r="F581" s="175" t="s">
        <v>151</v>
      </c>
      <c r="G581" s="149">
        <f>SUM(C534:C586)</f>
        <v>0</v>
      </c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256"/>
      <c r="B582" s="256"/>
      <c r="C582" s="256"/>
      <c r="D582" s="257"/>
      <c r="E582" s="255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256"/>
      <c r="B583" s="256"/>
      <c r="C583" s="256"/>
      <c r="D583" s="257"/>
      <c r="E583" s="255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256"/>
      <c r="B584" s="256"/>
      <c r="C584" s="256"/>
      <c r="D584" s="257"/>
      <c r="E584" s="255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256"/>
      <c r="B585" s="256"/>
      <c r="C585" s="256"/>
      <c r="D585" s="257"/>
      <c r="E585" s="255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256"/>
      <c r="B586" s="256"/>
      <c r="C586" s="256"/>
      <c r="D586" s="257"/>
      <c r="E586" s="255"/>
      <c r="F586" s="258"/>
      <c r="G586" s="25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256"/>
      <c r="B587" s="256"/>
      <c r="C587" s="256"/>
      <c r="D587" s="260"/>
      <c r="E587" s="255"/>
      <c r="F587" s="258"/>
      <c r="G587" s="25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261"/>
      <c r="B588" s="261"/>
      <c r="C588" s="261"/>
      <c r="D588" s="255"/>
      <c r="E588" s="255"/>
      <c r="F588" s="258"/>
      <c r="G588" s="25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262"/>
      <c r="B589" s="262"/>
      <c r="C589" s="262"/>
      <c r="D589" s="263"/>
      <c r="E589" s="263"/>
      <c r="F589" s="258"/>
      <c r="G589" s="25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264"/>
      <c r="B590" s="264"/>
      <c r="C590" s="264"/>
      <c r="D590" s="255"/>
      <c r="E590" s="255"/>
      <c r="F590" s="258"/>
      <c r="G590" s="25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264"/>
      <c r="B591" s="264"/>
      <c r="C591" s="264"/>
      <c r="D591" s="255"/>
      <c r="E591" s="255"/>
      <c r="F591" s="258"/>
      <c r="G591" s="25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264"/>
      <c r="B592" s="264"/>
      <c r="C592" s="264"/>
      <c r="D592" s="255"/>
      <c r="E592" s="255"/>
      <c r="F592" s="258"/>
      <c r="G592" s="25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264"/>
      <c r="B593" s="264"/>
      <c r="C593" s="264"/>
      <c r="D593" s="255"/>
      <c r="E593" s="255"/>
      <c r="F593" s="258"/>
      <c r="G593" s="25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264"/>
      <c r="B594" s="264"/>
      <c r="C594" s="264"/>
      <c r="D594" s="255"/>
      <c r="E594" s="255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264"/>
      <c r="B595" s="264"/>
      <c r="C595" s="264"/>
      <c r="D595" s="255"/>
      <c r="E595" s="255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264"/>
      <c r="B596" s="264"/>
      <c r="C596" s="264"/>
      <c r="D596" s="255"/>
      <c r="E596" s="255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264"/>
      <c r="B597" s="264"/>
      <c r="C597" s="264"/>
      <c r="D597" s="255"/>
      <c r="E597" s="255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264"/>
      <c r="B598" s="264"/>
      <c r="C598" s="264"/>
      <c r="D598" s="255"/>
      <c r="E598" s="255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262"/>
      <c r="B599" s="262"/>
      <c r="C599" s="262"/>
      <c r="D599" s="263"/>
      <c r="E599" s="26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265" t="s">
        <v>161</v>
      </c>
      <c r="B600" s="266"/>
      <c r="C600" s="267" t="s">
        <v>162</v>
      </c>
      <c r="D600" s="268" t="s">
        <v>163</v>
      </c>
      <c r="E600" s="269" t="s">
        <v>164</v>
      </c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270">
        <f t="array" ref="A601">E601-D601</f>
        <v>23652</v>
      </c>
      <c r="B601" s="270"/>
      <c r="C601" s="242">
        <f t="array" ref="C601">SUM(C2:C599)</f>
        <v>70</v>
      </c>
      <c r="D601" s="271">
        <f t="array" ref="D601">SUM(D2:D599)</f>
        <v>34966</v>
      </c>
      <c r="E601" s="272">
        <f t="array" ref="E601">SUM(E2:E599)</f>
        <v>58618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273"/>
      <c r="B602" s="274"/>
      <c r="C602" s="181"/>
      <c r="D602" s="275"/>
      <c r="E602" s="274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</sheetData>
  <autoFilter ref="$A$1:$E$39"/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2" width="31.5"/>
    <col customWidth="1" min="3" max="3" width="15.0"/>
    <col customWidth="1" min="4" max="4" width="2.63"/>
    <col customWidth="1" min="5" max="5" width="26.0"/>
    <col customWidth="1" min="6" max="6" width="23.88"/>
    <col customWidth="1" min="7" max="7" width="3.38"/>
    <col customWidth="1" min="8" max="8" width="19.38"/>
    <col customWidth="1" min="9" max="9" width="14.5"/>
    <col customWidth="1" min="10" max="10" width="10.38"/>
    <col customWidth="1" min="11" max="11" width="2.38"/>
    <col customWidth="1" min="12" max="12" width="14.25"/>
    <col customWidth="1" min="13" max="13" width="13.63"/>
    <col customWidth="1" min="14" max="15" width="15.88"/>
    <col customWidth="1" min="16" max="16" width="19.38"/>
    <col customWidth="1" min="17" max="18" width="12.38"/>
    <col customWidth="1" min="19" max="26" width="10.0"/>
  </cols>
  <sheetData>
    <row r="1" ht="15.0" customHeight="1">
      <c r="A1" s="7" t="s">
        <v>3</v>
      </c>
      <c r="B1" s="7" t="s">
        <v>29</v>
      </c>
      <c r="C1" s="7" t="s">
        <v>30</v>
      </c>
      <c r="D1" s="14"/>
      <c r="E1" s="15" t="s">
        <v>31</v>
      </c>
      <c r="F1" s="18" t="s">
        <v>34</v>
      </c>
      <c r="G1" s="21"/>
      <c r="H1" s="25" t="s">
        <v>36</v>
      </c>
      <c r="I1" s="25" t="s">
        <v>37</v>
      </c>
      <c r="J1" s="28" t="s">
        <v>29</v>
      </c>
      <c r="K1" s="31"/>
      <c r="L1" s="28" t="s">
        <v>39</v>
      </c>
      <c r="M1" s="28" t="s">
        <v>9</v>
      </c>
      <c r="N1" s="28" t="s">
        <v>41</v>
      </c>
      <c r="O1" s="28" t="s">
        <v>42</v>
      </c>
      <c r="P1" s="28" t="s">
        <v>43</v>
      </c>
      <c r="Q1" s="28" t="s">
        <v>44</v>
      </c>
      <c r="R1" s="28" t="s">
        <v>45</v>
      </c>
      <c r="S1" s="12"/>
      <c r="T1" s="12"/>
      <c r="U1" s="12"/>
      <c r="V1" s="12"/>
      <c r="W1" s="12"/>
      <c r="X1" s="12"/>
      <c r="Y1" s="12"/>
      <c r="Z1" s="12"/>
    </row>
    <row r="2" ht="14.25" customHeight="1">
      <c r="A2" s="37" t="s">
        <v>47</v>
      </c>
      <c r="B2" s="40">
        <v>46258.0</v>
      </c>
      <c r="C2" s="43">
        <v>400.0</v>
      </c>
      <c r="D2" s="45"/>
      <c r="E2" s="49">
        <f>'   ESTOQUE  2026'!M35</f>
        <v>33081</v>
      </c>
      <c r="F2" s="53">
        <f>'CONTROLE DE SAÍDA 2026'!E601</f>
        <v>58618</v>
      </c>
      <c r="G2" s="45"/>
      <c r="H2" s="54" t="s">
        <v>51</v>
      </c>
      <c r="I2" s="55">
        <v>1425.0</v>
      </c>
      <c r="J2" s="56">
        <v>46275.0</v>
      </c>
      <c r="K2" s="45"/>
      <c r="L2" s="59" t="s">
        <v>53</v>
      </c>
      <c r="M2" s="66">
        <f t="array" ref="M2">'CONTROLE DE SAÍDA 2026'!G43</f>
        <v>58</v>
      </c>
      <c r="N2" s="69">
        <f t="array" ref="N2">'CONTROLE DE SAÍDA 2026'!F41</f>
        <v>48750</v>
      </c>
      <c r="O2" s="72">
        <f t="array" ref="O2">'CONTROLE DE SAÍDA 2026'!G42</f>
        <v>19719</v>
      </c>
      <c r="P2" s="78">
        <f t="shared" ref="P2:P8" si="2">O2/3</f>
        <v>6573</v>
      </c>
      <c r="Q2" s="78">
        <f t="shared" ref="Q2:R2" si="1">P2</f>
        <v>6573</v>
      </c>
      <c r="R2" s="78">
        <f t="shared" si="1"/>
        <v>6573</v>
      </c>
      <c r="S2" s="12"/>
      <c r="T2" s="12"/>
      <c r="U2" s="12"/>
      <c r="V2" s="12"/>
      <c r="W2" s="12"/>
      <c r="X2" s="12"/>
      <c r="Y2" s="12"/>
      <c r="Z2" s="12"/>
    </row>
    <row r="3" ht="14.25" customHeight="1">
      <c r="A3" s="88" t="s">
        <v>73</v>
      </c>
      <c r="B3" s="89">
        <v>46265.0</v>
      </c>
      <c r="C3" s="90">
        <v>19719.0</v>
      </c>
      <c r="D3" s="45"/>
      <c r="E3" s="91">
        <f>C59</f>
        <v>20119</v>
      </c>
      <c r="F3" s="92">
        <f>F2-(E2+E3)</f>
        <v>5418</v>
      </c>
      <c r="G3" s="45"/>
      <c r="H3" s="54" t="s">
        <v>81</v>
      </c>
      <c r="I3" s="94">
        <v>750.0</v>
      </c>
      <c r="J3" s="56"/>
      <c r="K3" s="45"/>
      <c r="L3" s="95" t="s">
        <v>83</v>
      </c>
      <c r="M3" s="96">
        <f t="array" ref="M3">'CONTROLE DE SAÍDA 2026'!G92</f>
        <v>12</v>
      </c>
      <c r="N3" s="101">
        <f t="array" ref="N3">'CONTROLE DE SAÍDA 2026'!F90</f>
        <v>9868</v>
      </c>
      <c r="O3" s="108">
        <f t="array" ref="O3">'CONTROLE DE SAÍDA 2026'!G91</f>
        <v>3933</v>
      </c>
      <c r="P3" s="78">
        <f t="shared" si="2"/>
        <v>1311</v>
      </c>
      <c r="Q3" s="78">
        <f t="shared" ref="Q3:R3" si="3">P3</f>
        <v>1311</v>
      </c>
      <c r="R3" s="78">
        <f t="shared" si="3"/>
        <v>1311</v>
      </c>
      <c r="S3" s="12"/>
      <c r="T3" s="12"/>
      <c r="U3" s="12"/>
      <c r="V3" s="12"/>
      <c r="W3" s="12"/>
      <c r="X3" s="12"/>
      <c r="Y3" s="12"/>
      <c r="Z3" s="12"/>
    </row>
    <row r="4" ht="15.0" customHeight="1">
      <c r="A4" s="110"/>
      <c r="B4" s="112"/>
      <c r="C4" s="113"/>
      <c r="D4" s="45"/>
      <c r="E4" s="7" t="s">
        <v>89</v>
      </c>
      <c r="F4" s="114"/>
      <c r="G4" s="45"/>
      <c r="H4" s="115" t="s">
        <v>90</v>
      </c>
      <c r="I4" s="116">
        <v>90.0</v>
      </c>
      <c r="J4" s="117">
        <v>46283.0</v>
      </c>
      <c r="K4" s="45"/>
      <c r="L4" s="66" t="s">
        <v>91</v>
      </c>
      <c r="M4" s="120">
        <f t="array" ref="M4">'CONTROLE DE SAÍDA 2026'!G163</f>
        <v>0</v>
      </c>
      <c r="N4" s="69">
        <f t="array" ref="N4">'CONTROLE DE SAÍDA 2026'!F161</f>
        <v>0</v>
      </c>
      <c r="O4" s="72">
        <f t="array" ref="O4">'CONTROLE DE SAÍDA 2026'!G162</f>
        <v>0</v>
      </c>
      <c r="P4" s="78">
        <f t="shared" si="2"/>
        <v>0</v>
      </c>
      <c r="Q4" s="78">
        <f t="shared" ref="Q4:R4" si="4">P4</f>
        <v>0</v>
      </c>
      <c r="R4" s="78">
        <f t="shared" si="4"/>
        <v>0</v>
      </c>
      <c r="S4" s="12"/>
      <c r="T4" s="12"/>
      <c r="U4" s="12"/>
      <c r="V4" s="12"/>
      <c r="W4" s="12"/>
      <c r="X4" s="12"/>
      <c r="Y4" s="12"/>
      <c r="Z4" s="12"/>
    </row>
    <row r="5" ht="14.25" customHeight="1">
      <c r="A5" s="37"/>
      <c r="B5" s="127"/>
      <c r="C5" s="91"/>
      <c r="D5" s="128"/>
      <c r="E5" s="129" t="s">
        <v>96</v>
      </c>
      <c r="F5" s="130"/>
      <c r="G5" s="131"/>
      <c r="H5" s="115" t="s">
        <v>99</v>
      </c>
      <c r="I5" s="116">
        <v>1350.0</v>
      </c>
      <c r="J5" s="117">
        <v>46275.0</v>
      </c>
      <c r="K5" s="45"/>
      <c r="L5" s="132" t="s">
        <v>101</v>
      </c>
      <c r="M5" s="96">
        <f t="array" ref="M5">'CONTROLE DE SAÍDA 2026'!G236</f>
        <v>0</v>
      </c>
      <c r="N5" s="101">
        <f t="array" ref="N5">'CONTROLE DE SAÍDA 2026'!F234</f>
        <v>0</v>
      </c>
      <c r="O5" s="108">
        <f t="array" ref="O5">'CONTROLE DE SAÍDA 2026'!G235</f>
        <v>0</v>
      </c>
      <c r="P5" s="78">
        <f t="shared" si="2"/>
        <v>0</v>
      </c>
      <c r="Q5" s="78">
        <f t="shared" ref="Q5:R5" si="5">P5</f>
        <v>0</v>
      </c>
      <c r="R5" s="78">
        <f t="shared" si="5"/>
        <v>0</v>
      </c>
      <c r="S5" s="12"/>
      <c r="T5" s="12"/>
      <c r="U5" s="12"/>
      <c r="V5" s="12"/>
      <c r="W5" s="12"/>
      <c r="X5" s="12"/>
      <c r="Y5" s="12"/>
      <c r="Z5" s="12"/>
    </row>
    <row r="6" ht="14.25" customHeight="1">
      <c r="A6" s="134"/>
      <c r="B6" s="135"/>
      <c r="C6" s="91"/>
      <c r="D6" s="45"/>
      <c r="E6" s="136"/>
      <c r="F6" s="113"/>
      <c r="G6" s="45"/>
      <c r="H6" s="137" t="s">
        <v>108</v>
      </c>
      <c r="I6" s="116">
        <v>1000.0</v>
      </c>
      <c r="J6" s="139"/>
      <c r="K6" s="45"/>
      <c r="L6" s="132" t="s">
        <v>109</v>
      </c>
      <c r="M6" s="96">
        <f t="array" ref="M6">'CONTROLE DE SAÍDA 2026'!G337</f>
        <v>0</v>
      </c>
      <c r="N6" s="101">
        <f t="array" ref="N6">'CONTROLE DE SAÍDA 2026'!F335</f>
        <v>0</v>
      </c>
      <c r="O6" s="108">
        <f t="array" ref="O6">'CONTROLE DE SAÍDA 2026'!G336</f>
        <v>0</v>
      </c>
      <c r="P6" s="78">
        <f t="shared" si="2"/>
        <v>0</v>
      </c>
      <c r="Q6" s="78">
        <f t="shared" ref="Q6:R6" si="6">P6</f>
        <v>0</v>
      </c>
      <c r="R6" s="78">
        <f t="shared" si="6"/>
        <v>0</v>
      </c>
      <c r="S6" s="12"/>
      <c r="T6" s="12"/>
      <c r="U6" s="12"/>
      <c r="V6" s="12"/>
      <c r="W6" s="12"/>
      <c r="X6" s="12"/>
      <c r="Y6" s="12"/>
      <c r="Z6" s="12"/>
    </row>
    <row r="7" ht="14.25" customHeight="1">
      <c r="A7" s="110"/>
      <c r="B7" s="112"/>
      <c r="C7" s="113"/>
      <c r="D7" s="45"/>
      <c r="E7" s="141"/>
      <c r="F7" s="143"/>
      <c r="G7" s="45"/>
      <c r="H7" s="54" t="s">
        <v>110</v>
      </c>
      <c r="I7" s="94">
        <v>9000.0</v>
      </c>
      <c r="J7" s="56">
        <v>46305.0</v>
      </c>
      <c r="K7" s="45"/>
      <c r="L7" s="66" t="s">
        <v>111</v>
      </c>
      <c r="M7" s="120">
        <f t="array" ref="M7">'CONTROLE DE SAÍDA 2026'!G398</f>
        <v>0</v>
      </c>
      <c r="N7" s="69">
        <f t="array" ref="N7">'CONTROLE DE SAÍDA 2026'!F396</f>
        <v>0</v>
      </c>
      <c r="O7" s="72">
        <f t="array" ref="O7">'CONTROLE DE SAÍDA 2026'!G397</f>
        <v>0</v>
      </c>
      <c r="P7" s="78">
        <f t="shared" si="2"/>
        <v>0</v>
      </c>
      <c r="Q7" s="78">
        <f t="shared" ref="Q7:R7" si="7">P7</f>
        <v>0</v>
      </c>
      <c r="R7" s="78">
        <f t="shared" si="7"/>
        <v>0</v>
      </c>
      <c r="S7" s="12"/>
      <c r="T7" s="12"/>
      <c r="U7" s="12"/>
      <c r="V7" s="12"/>
      <c r="W7" s="12"/>
      <c r="X7" s="12"/>
      <c r="Y7" s="12"/>
      <c r="Z7" s="12"/>
    </row>
    <row r="8" ht="14.25" customHeight="1">
      <c r="A8" s="134"/>
      <c r="B8" s="135"/>
      <c r="C8" s="91"/>
      <c r="D8" s="45"/>
      <c r="E8" s="144"/>
      <c r="F8" s="145"/>
      <c r="G8" s="45"/>
      <c r="H8" s="137" t="s">
        <v>112</v>
      </c>
      <c r="I8" s="116">
        <v>4400.0</v>
      </c>
      <c r="J8" s="117">
        <v>46281.0</v>
      </c>
      <c r="K8" s="45"/>
      <c r="L8" s="132" t="s">
        <v>114</v>
      </c>
      <c r="M8" s="96">
        <f>'CONTROLE DE SAÍDA 2026'!G435</f>
        <v>0</v>
      </c>
      <c r="N8" s="101">
        <f>'CONTROLE DE SAÍDA 2026'!F433</f>
        <v>0</v>
      </c>
      <c r="O8" s="108">
        <f>'CONTROLE DE SAÍDA 2026'!G434</f>
        <v>0</v>
      </c>
      <c r="P8" s="78">
        <f t="shared" si="2"/>
        <v>0</v>
      </c>
      <c r="Q8" s="78">
        <f t="shared" ref="Q8:R8" si="8">P8</f>
        <v>0</v>
      </c>
      <c r="R8" s="78">
        <f t="shared" si="8"/>
        <v>0</v>
      </c>
      <c r="S8" s="12"/>
      <c r="T8" s="12"/>
      <c r="U8" s="12"/>
      <c r="V8" s="12"/>
      <c r="W8" s="12"/>
      <c r="X8" s="12"/>
      <c r="Y8" s="12"/>
      <c r="Z8" s="12"/>
    </row>
    <row r="9" ht="14.25" customHeight="1">
      <c r="A9" s="110"/>
      <c r="B9" s="112"/>
      <c r="C9" s="113"/>
      <c r="D9" s="45"/>
      <c r="E9" s="147"/>
      <c r="F9" s="91"/>
      <c r="G9" s="45"/>
      <c r="H9" s="137" t="s">
        <v>112</v>
      </c>
      <c r="I9" s="116">
        <v>4400.0</v>
      </c>
      <c r="J9" s="117">
        <v>46311.0</v>
      </c>
      <c r="K9" s="45"/>
      <c r="L9" s="66"/>
      <c r="M9" s="66"/>
      <c r="N9" s="66"/>
      <c r="O9" s="66"/>
      <c r="P9" s="66"/>
      <c r="Q9" s="66"/>
      <c r="R9" s="66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10"/>
      <c r="B10" s="112"/>
      <c r="C10" s="113"/>
      <c r="D10" s="45"/>
      <c r="E10" s="147"/>
      <c r="F10" s="91"/>
      <c r="G10" s="45"/>
      <c r="H10" s="137" t="s">
        <v>115</v>
      </c>
      <c r="I10" s="116">
        <v>3826.0</v>
      </c>
      <c r="J10" s="139"/>
      <c r="K10" s="45"/>
      <c r="L10" s="66"/>
      <c r="M10" s="120"/>
      <c r="N10" s="69"/>
      <c r="O10" s="72"/>
      <c r="P10" s="78"/>
      <c r="Q10" s="78"/>
      <c r="R10" s="78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110"/>
      <c r="B11" s="112"/>
      <c r="C11" s="113"/>
      <c r="D11" s="45"/>
      <c r="E11" s="147"/>
      <c r="F11" s="91"/>
      <c r="G11" s="45"/>
      <c r="H11" s="137" t="s">
        <v>116</v>
      </c>
      <c r="I11" s="116">
        <v>162.5</v>
      </c>
      <c r="J11" s="139"/>
      <c r="K11" s="45"/>
      <c r="L11" s="120"/>
      <c r="M11" s="69"/>
      <c r="N11" s="72"/>
      <c r="O11" s="78"/>
      <c r="P11" s="78"/>
      <c r="Q11" s="78"/>
      <c r="R11" s="12"/>
      <c r="S11" s="12"/>
      <c r="T11" s="12"/>
      <c r="U11" s="12"/>
      <c r="V11" s="12"/>
      <c r="W11" s="12"/>
      <c r="X11" s="12"/>
      <c r="Y11" s="12"/>
    </row>
    <row r="12" ht="14.25" customHeight="1">
      <c r="A12" s="110"/>
      <c r="B12" s="112"/>
      <c r="C12" s="113"/>
      <c r="D12" s="45"/>
      <c r="E12" s="147"/>
      <c r="F12" s="91"/>
      <c r="G12" s="45"/>
      <c r="H12" s="137" t="s">
        <v>117</v>
      </c>
      <c r="I12" s="116">
        <v>100.0</v>
      </c>
      <c r="J12" s="139"/>
      <c r="K12" s="45"/>
      <c r="L12" s="66"/>
      <c r="M12" s="120"/>
      <c r="N12" s="69"/>
      <c r="O12" s="72"/>
      <c r="P12" s="78"/>
      <c r="Q12" s="78"/>
      <c r="R12" s="78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110"/>
      <c r="B13" s="112"/>
      <c r="C13" s="113"/>
      <c r="D13" s="45"/>
      <c r="E13" s="147"/>
      <c r="F13" s="91"/>
      <c r="G13" s="45"/>
      <c r="H13" s="137" t="s">
        <v>118</v>
      </c>
      <c r="I13" s="116">
        <v>600.0</v>
      </c>
      <c r="J13" s="139"/>
      <c r="K13" s="45"/>
      <c r="L13" s="66" t="s">
        <v>119</v>
      </c>
      <c r="M13" s="120">
        <f>'CONTROLE DE SAÍDA 2026'!G479</f>
        <v>0</v>
      </c>
      <c r="N13" s="69">
        <f>'CONTROLE DE SAÍDA 2026'!F477</f>
        <v>0</v>
      </c>
      <c r="O13" s="72">
        <f>'CONTROLE DE SAÍDA 2026'!G478</f>
        <v>0</v>
      </c>
      <c r="P13" s="78">
        <f t="shared" ref="P13:P16" si="10">O13/3</f>
        <v>0</v>
      </c>
      <c r="Q13" s="78">
        <f t="shared" ref="Q13:R13" si="9">P13</f>
        <v>0</v>
      </c>
      <c r="R13" s="78">
        <f t="shared" si="9"/>
        <v>0</v>
      </c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34"/>
      <c r="B14" s="135"/>
      <c r="C14" s="91"/>
      <c r="D14" s="45"/>
      <c r="E14" s="144"/>
      <c r="F14" s="145"/>
      <c r="G14" s="45"/>
      <c r="H14" s="54" t="s">
        <v>122</v>
      </c>
      <c r="I14" s="94">
        <v>1400.0</v>
      </c>
      <c r="J14" s="148"/>
      <c r="K14" s="45"/>
      <c r="L14" s="132" t="s">
        <v>123</v>
      </c>
      <c r="M14" s="96">
        <f>'CONTROLE DE SAÍDA 2026'!G515</f>
        <v>0</v>
      </c>
      <c r="N14" s="101">
        <f>'CONTROLE DE SAÍDA 2026'!F513</f>
        <v>0</v>
      </c>
      <c r="O14" s="108">
        <f>'CONTROLE DE SAÍDA 2026'!G514</f>
        <v>0</v>
      </c>
      <c r="P14" s="78">
        <f t="shared" si="10"/>
        <v>0</v>
      </c>
      <c r="Q14" s="78">
        <f t="shared" ref="Q14:R14" si="11">P14</f>
        <v>0</v>
      </c>
      <c r="R14" s="78">
        <f t="shared" si="11"/>
        <v>0</v>
      </c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110"/>
      <c r="B15" s="112"/>
      <c r="C15" s="113"/>
      <c r="D15" s="45"/>
      <c r="E15" s="147"/>
      <c r="F15" s="91"/>
      <c r="G15" s="45"/>
      <c r="H15" s="150" t="s">
        <v>125</v>
      </c>
      <c r="I15" s="151">
        <f t="array" ref="I15">SUM(I2:I14)</f>
        <v>28503.5</v>
      </c>
      <c r="J15" s="152"/>
      <c r="K15" s="45"/>
      <c r="L15" s="66" t="s">
        <v>127</v>
      </c>
      <c r="M15" s="120">
        <f>'CONTROLE DE SAÍDA 2026'!G533</f>
        <v>0</v>
      </c>
      <c r="N15" s="69">
        <f>'CONTROLE DE SAÍDA 2026'!F531</f>
        <v>0</v>
      </c>
      <c r="O15" s="72">
        <f>'CONTROLE DE SAÍDA 2026'!G532</f>
        <v>0</v>
      </c>
      <c r="P15" s="78">
        <f t="shared" si="10"/>
        <v>0</v>
      </c>
      <c r="Q15" s="78">
        <f t="shared" ref="Q15:R15" si="12">P15</f>
        <v>0</v>
      </c>
      <c r="R15" s="78">
        <f t="shared" si="12"/>
        <v>0</v>
      </c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134"/>
      <c r="B16" s="135"/>
      <c r="C16" s="91"/>
      <c r="D16" s="45"/>
      <c r="E16" s="153"/>
      <c r="F16" s="114"/>
      <c r="G16" s="128"/>
      <c r="H16" s="130"/>
      <c r="I16" s="130"/>
      <c r="J16" s="154"/>
      <c r="K16" s="131"/>
      <c r="L16" s="132" t="s">
        <v>128</v>
      </c>
      <c r="M16" s="96">
        <f>'CONTROLE DE SAÍDA 2026'!G581</f>
        <v>0</v>
      </c>
      <c r="N16" s="101">
        <f>'CONTROLE DE SAÍDA 2026'!F579</f>
        <v>0</v>
      </c>
      <c r="O16" s="108">
        <f>'CONTROLE DE SAÍDA 2026'!G580</f>
        <v>0</v>
      </c>
      <c r="P16" s="78">
        <f t="shared" si="10"/>
        <v>0</v>
      </c>
      <c r="Q16" s="78">
        <f t="shared" ref="Q16:R16" si="13">P16</f>
        <v>0</v>
      </c>
      <c r="R16" s="78">
        <f t="shared" si="13"/>
        <v>0</v>
      </c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110"/>
      <c r="B17" s="112"/>
      <c r="C17" s="113"/>
      <c r="D17" s="45"/>
      <c r="E17" s="155" t="s">
        <v>129</v>
      </c>
      <c r="F17" s="156">
        <f t="array" ref="F17">SUM(F6:F16)</f>
        <v>0</v>
      </c>
      <c r="G17" s="45"/>
      <c r="H17" s="25"/>
      <c r="I17" s="25"/>
      <c r="J17" s="28"/>
      <c r="K17" s="45"/>
      <c r="L17" s="121" t="s">
        <v>125</v>
      </c>
      <c r="M17" s="121">
        <f t="array" ref="M17">SUM(M2:M16)</f>
        <v>70</v>
      </c>
      <c r="N17" s="157"/>
      <c r="O17" s="158">
        <f t="array" ref="O17">SUM(O2:O16)</f>
        <v>23652</v>
      </c>
      <c r="P17" s="158">
        <f t="array" ref="P17">SUM(P2:P16)</f>
        <v>7884</v>
      </c>
      <c r="Q17" s="158">
        <f t="array" ref="Q17">SUM(Q2:Q16)</f>
        <v>7884</v>
      </c>
      <c r="R17" s="158">
        <f t="array" ref="R17">SUM(R2:R16)</f>
        <v>7884</v>
      </c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34"/>
      <c r="B18" s="135"/>
      <c r="C18" s="91"/>
      <c r="D18" s="128"/>
      <c r="E18" s="123"/>
      <c r="F18" s="123"/>
      <c r="G18" s="131"/>
      <c r="H18" s="159"/>
      <c r="I18" s="102"/>
      <c r="J18" s="160"/>
      <c r="K18" s="128"/>
      <c r="L18" s="123"/>
      <c r="M18" s="123"/>
      <c r="N18" s="123"/>
      <c r="O18" s="123"/>
      <c r="P18" s="123"/>
      <c r="Q18" s="30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110"/>
      <c r="B19" s="112"/>
      <c r="C19" s="113"/>
      <c r="D19" s="128"/>
      <c r="E19" s="12"/>
      <c r="F19" s="12"/>
      <c r="G19" s="131"/>
      <c r="H19" s="161"/>
      <c r="I19" s="162"/>
      <c r="J19" s="163"/>
      <c r="K19" s="128"/>
      <c r="L19" s="12"/>
      <c r="M19" s="12"/>
      <c r="N19" s="12"/>
      <c r="O19" s="12"/>
      <c r="P19" s="12"/>
      <c r="Q19" s="30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34"/>
      <c r="B20" s="135"/>
      <c r="C20" s="91"/>
      <c r="D20" s="128"/>
      <c r="E20" s="12"/>
      <c r="F20" s="12"/>
      <c r="G20" s="131"/>
      <c r="H20" s="159"/>
      <c r="I20" s="102"/>
      <c r="J20" s="160"/>
      <c r="K20" s="128"/>
      <c r="L20" s="12"/>
      <c r="M20" s="12"/>
      <c r="N20" s="12"/>
      <c r="O20" s="12"/>
      <c r="P20" s="12"/>
      <c r="Q20" s="30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10"/>
      <c r="B21" s="112"/>
      <c r="C21" s="113"/>
      <c r="D21" s="128"/>
      <c r="E21" s="12"/>
      <c r="F21" s="12"/>
      <c r="G21" s="131"/>
      <c r="H21" s="164"/>
      <c r="I21" s="162"/>
      <c r="J21" s="163"/>
      <c r="K21" s="128"/>
      <c r="L21" s="12"/>
      <c r="M21" s="12"/>
      <c r="N21" s="12"/>
      <c r="O21" s="12"/>
      <c r="P21" s="12"/>
      <c r="Q21" s="30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34"/>
      <c r="B22" s="135"/>
      <c r="C22" s="91"/>
      <c r="D22" s="128"/>
      <c r="E22" s="12"/>
      <c r="F22" s="12"/>
      <c r="G22" s="131"/>
      <c r="H22" s="165"/>
      <c r="I22" s="166"/>
      <c r="J22" s="167"/>
      <c r="K22" s="128"/>
      <c r="L22" s="12"/>
      <c r="M22" s="12"/>
      <c r="N22" s="12"/>
      <c r="O22" s="12"/>
      <c r="P22" s="12"/>
      <c r="Q22" s="30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110"/>
      <c r="B23" s="112"/>
      <c r="C23" s="113"/>
      <c r="D23" s="128"/>
      <c r="E23" s="12"/>
      <c r="F23" s="12"/>
      <c r="G23" s="12"/>
      <c r="H23" s="123"/>
      <c r="I23" s="123"/>
      <c r="J23" s="12"/>
      <c r="K23" s="12"/>
      <c r="L23" s="12"/>
      <c r="M23" s="12"/>
      <c r="N23" s="30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134"/>
      <c r="B24" s="135"/>
      <c r="C24" s="91"/>
      <c r="D24" s="128"/>
      <c r="E24" s="12"/>
      <c r="F24" s="12"/>
      <c r="G24" s="12"/>
      <c r="H24" s="168"/>
      <c r="I24" s="168"/>
      <c r="J24" s="12"/>
      <c r="K24" s="12"/>
      <c r="L24" s="12"/>
      <c r="M24" s="12"/>
      <c r="N24" s="30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10"/>
      <c r="B25" s="112"/>
      <c r="C25" s="113"/>
      <c r="D25" s="128"/>
      <c r="E25" s="12"/>
      <c r="F25" s="12"/>
      <c r="G25" s="12"/>
      <c r="H25" s="168"/>
      <c r="I25" s="168"/>
      <c r="J25" s="12"/>
      <c r="K25" s="12"/>
      <c r="L25" s="12"/>
      <c r="M25" s="12"/>
      <c r="N25" s="30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0" customHeight="1">
      <c r="A26" s="134"/>
      <c r="B26" s="135"/>
      <c r="C26" s="91"/>
      <c r="D26" s="128"/>
      <c r="E26" s="12"/>
      <c r="F26" s="12"/>
      <c r="G26" s="12"/>
      <c r="H26" s="168"/>
      <c r="I26" s="168"/>
      <c r="J26" s="12"/>
      <c r="K26" s="12"/>
      <c r="L26" s="12"/>
      <c r="M26" s="12"/>
      <c r="N26" s="30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110"/>
      <c r="B27" s="112"/>
      <c r="C27" s="113"/>
      <c r="D27" s="128"/>
      <c r="E27" s="12"/>
      <c r="F27" s="12"/>
      <c r="G27" s="12"/>
      <c r="H27" s="12"/>
      <c r="I27" s="12"/>
      <c r="J27" s="12"/>
      <c r="K27" s="12"/>
      <c r="L27" s="12"/>
      <c r="M27" s="12"/>
      <c r="N27" s="30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134"/>
      <c r="B28" s="135"/>
      <c r="C28" s="91"/>
      <c r="D28" s="128"/>
      <c r="E28" s="12"/>
      <c r="F28" s="12"/>
      <c r="G28" s="12"/>
      <c r="H28" s="12"/>
      <c r="I28" s="12"/>
      <c r="J28" s="12"/>
      <c r="K28" s="12"/>
      <c r="L28" s="12"/>
      <c r="M28" s="12"/>
      <c r="N28" s="30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110"/>
      <c r="B29" s="112"/>
      <c r="C29" s="113"/>
      <c r="D29" s="128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30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34"/>
      <c r="B30" s="135"/>
      <c r="C30" s="91"/>
      <c r="D30" s="128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30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110"/>
      <c r="B31" s="112"/>
      <c r="C31" s="113"/>
      <c r="D31" s="128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30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134"/>
      <c r="B32" s="135"/>
      <c r="C32" s="91"/>
      <c r="D32" s="128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30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110"/>
      <c r="B33" s="112"/>
      <c r="C33" s="113"/>
      <c r="D33" s="128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30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134"/>
      <c r="B34" s="135"/>
      <c r="C34" s="91"/>
      <c r="D34" s="128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30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110"/>
      <c r="B35" s="112"/>
      <c r="C35" s="113"/>
      <c r="D35" s="128"/>
      <c r="E35" s="12"/>
      <c r="F35" s="12"/>
      <c r="G35" s="12"/>
      <c r="H35" s="174"/>
      <c r="I35" s="174"/>
      <c r="J35" s="174"/>
      <c r="K35" s="12"/>
      <c r="L35" s="12"/>
      <c r="M35" s="12"/>
      <c r="N35" s="12"/>
      <c r="O35" s="12"/>
      <c r="P35" s="12"/>
      <c r="Q35" s="30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34"/>
      <c r="B36" s="135"/>
      <c r="C36" s="91"/>
      <c r="D36" s="128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30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10"/>
      <c r="B37" s="112"/>
      <c r="C37" s="113"/>
      <c r="D37" s="128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30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134"/>
      <c r="B38" s="135"/>
      <c r="C38" s="91"/>
      <c r="D38" s="128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30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110"/>
      <c r="B39" s="112"/>
      <c r="C39" s="113"/>
      <c r="D39" s="128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30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134"/>
      <c r="B40" s="135"/>
      <c r="C40" s="91"/>
      <c r="D40" s="128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30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153"/>
      <c r="B41" s="112"/>
      <c r="C41" s="113"/>
      <c r="D41" s="128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30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76"/>
      <c r="B42" s="135"/>
      <c r="C42" s="91"/>
      <c r="D42" s="128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30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53"/>
      <c r="B43" s="112"/>
      <c r="C43" s="113"/>
      <c r="D43" s="128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30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76"/>
      <c r="B44" s="135"/>
      <c r="C44" s="91"/>
      <c r="D44" s="128"/>
      <c r="E44" s="12"/>
      <c r="F44" s="174"/>
      <c r="G44" s="174"/>
      <c r="H44" s="12"/>
      <c r="I44" s="12"/>
      <c r="J44" s="12"/>
      <c r="K44" s="174"/>
      <c r="L44" s="174"/>
      <c r="M44" s="12"/>
      <c r="N44" s="12"/>
      <c r="O44" s="12"/>
      <c r="P44" s="12"/>
      <c r="Q44" s="30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53"/>
      <c r="B45" s="112"/>
      <c r="C45" s="113"/>
      <c r="D45" s="128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30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76"/>
      <c r="B46" s="135"/>
      <c r="C46" s="91"/>
      <c r="D46" s="128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30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53"/>
      <c r="B47" s="112"/>
      <c r="C47" s="113"/>
      <c r="D47" s="128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30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76"/>
      <c r="B48" s="112"/>
      <c r="C48" s="113"/>
      <c r="D48" s="128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30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53"/>
      <c r="B49" s="112"/>
      <c r="C49" s="113"/>
      <c r="D49" s="128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30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53"/>
      <c r="B50" s="112"/>
      <c r="C50" s="113"/>
      <c r="D50" s="128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30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53"/>
      <c r="B51" s="112"/>
      <c r="C51" s="113"/>
      <c r="D51" s="174"/>
      <c r="E51" s="174"/>
      <c r="F51" s="12"/>
      <c r="G51" s="12"/>
      <c r="H51" s="12"/>
      <c r="I51" s="12"/>
      <c r="J51" s="12"/>
      <c r="K51" s="12"/>
      <c r="L51" s="12"/>
      <c r="M51" s="174"/>
      <c r="N51" s="174"/>
      <c r="O51" s="174"/>
      <c r="P51" s="174"/>
      <c r="Q51" s="179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53"/>
      <c r="B52" s="112"/>
      <c r="C52" s="1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53"/>
      <c r="B53" s="112"/>
      <c r="C53" s="1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53"/>
      <c r="B54" s="112"/>
      <c r="C54" s="1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53"/>
      <c r="B55" s="112"/>
      <c r="C55" s="1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53"/>
      <c r="B56" s="112"/>
      <c r="C56" s="1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76"/>
      <c r="B57" s="135"/>
      <c r="C57" s="9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53"/>
      <c r="B58" s="112"/>
      <c r="C58" s="1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76"/>
      <c r="B59" s="155" t="s">
        <v>125</v>
      </c>
      <c r="C59" s="156">
        <f t="array" ref="C59">SUM(C2:C58)</f>
        <v>20119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80"/>
      <c r="B60" s="181"/>
      <c r="C60" s="18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</sheetData>
  <autoFilter ref="$F$23"/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2025-07-31T16:25:56Z</dcterms:created>
</cp:coreProperties>
</file>