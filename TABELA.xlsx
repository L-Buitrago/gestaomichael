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 do mano\"/>
    </mc:Choice>
  </mc:AlternateContent>
  <bookViews>
    <workbookView xWindow="0" yWindow="0" windowWidth="28800" windowHeight="12210" activeTab="3"/>
  </bookViews>
  <sheets>
    <sheet name="   PEDIDOS DA FABRICA" sheetId="1" r:id="rId1"/>
    <sheet name="   ESTOQUE  2026" sheetId="2" r:id="rId2"/>
    <sheet name="CONTROLE DE SAÍDA 2026" sheetId="3" r:id="rId3"/>
    <sheet name="CONTA 2026" sheetId="4" r:id="rId4"/>
  </sheets>
  <definedNames>
    <definedName name="_xlnm._FilterDatabase" localSheetId="1" hidden="1">'   ESTOQUE  2026'!$A$1:$M$35</definedName>
    <definedName name="_xlnm._FilterDatabase" localSheetId="3" hidden="1">'CONTA 2026'!$F$23</definedName>
    <definedName name="_xlnm._FilterDatabase" localSheetId="2" hidden="1">'CONTROLE DE SAÍDA 2026'!$A$1:$E$39</definedName>
  </definedNames>
  <calcPr calcId="162913"/>
</workbook>
</file>

<file path=xl/calcChain.xml><?xml version="1.0" encoding="utf-8"?>
<calcChain xmlns="http://schemas.openxmlformats.org/spreadsheetml/2006/main">
  <c r="C59" i="4" l="1" a="1"/>
  <c r="C59" i="4" s="1"/>
  <c r="E3" i="4" s="1"/>
  <c r="I41" i="4"/>
  <c r="F17" i="4" a="1"/>
  <c r="F17" i="4" s="1"/>
  <c r="N2" i="4" a="1"/>
  <c r="N2" i="4" s="1"/>
  <c r="E601" i="3" a="1"/>
  <c r="E601" i="3" s="1"/>
  <c r="D601" i="3" a="1"/>
  <c r="D601" i="3"/>
  <c r="C601" i="3" a="1"/>
  <c r="C601" i="3" s="1"/>
  <c r="G581" i="3"/>
  <c r="M12" i="4" s="1"/>
  <c r="F579" i="3"/>
  <c r="G580" i="3" s="1" a="1"/>
  <c r="G580" i="3" s="1"/>
  <c r="O12" i="4" s="1"/>
  <c r="P12" i="4" s="1"/>
  <c r="Q12" i="4" s="1"/>
  <c r="R12" i="4" s="1"/>
  <c r="F578" i="3"/>
  <c r="G533" i="3"/>
  <c r="M11" i="4" s="1"/>
  <c r="F531" i="3"/>
  <c r="N11" i="4" s="1"/>
  <c r="F530" i="3"/>
  <c r="G515" i="3"/>
  <c r="M10" i="4" s="1"/>
  <c r="F513" i="3"/>
  <c r="G514" i="3" s="1" a="1"/>
  <c r="G514" i="3" s="1"/>
  <c r="O10" i="4" s="1"/>
  <c r="P10" i="4" s="1"/>
  <c r="Q10" i="4" s="1"/>
  <c r="R10" i="4" s="1"/>
  <c r="F512" i="3"/>
  <c r="G479" i="3"/>
  <c r="M9" i="4" s="1"/>
  <c r="F477" i="3"/>
  <c r="N9" i="4" s="1"/>
  <c r="F476" i="3"/>
  <c r="G435" i="3"/>
  <c r="M8" i="4" s="1"/>
  <c r="G434" i="3" a="1"/>
  <c r="G434" i="3"/>
  <c r="O8" i="4" s="1"/>
  <c r="P8" i="4" s="1"/>
  <c r="Q8" i="4" s="1"/>
  <c r="R8" i="4" s="1"/>
  <c r="F433" i="3"/>
  <c r="N8" i="4" s="1"/>
  <c r="F432" i="3"/>
  <c r="G398" i="3"/>
  <c r="M7" i="4" s="1" a="1"/>
  <c r="M7" i="4" s="1"/>
  <c r="F396" i="3"/>
  <c r="N7" i="4" s="1" a="1"/>
  <c r="N7" i="4" s="1"/>
  <c r="F395" i="3"/>
  <c r="G337" i="3" a="1"/>
  <c r="G337" i="3"/>
  <c r="M6" i="4" s="1" a="1"/>
  <c r="M6" i="4" s="1"/>
  <c r="F335" i="3" a="1"/>
  <c r="F335" i="3" s="1"/>
  <c r="F334" i="3" a="1"/>
  <c r="F334" i="3"/>
  <c r="G291" i="3" a="1"/>
  <c r="G291" i="3" s="1"/>
  <c r="F289" i="3" a="1"/>
  <c r="F289" i="3"/>
  <c r="G290" i="3" s="1" a="1"/>
  <c r="G290" i="3" s="1"/>
  <c r="F288" i="3" a="1"/>
  <c r="F288" i="3" s="1"/>
  <c r="G236" i="3" a="1"/>
  <c r="G236" i="3" s="1"/>
  <c r="M5" i="4" s="1" a="1"/>
  <c r="M5" i="4" s="1"/>
  <c r="F234" i="3" a="1"/>
  <c r="F234" i="3" s="1"/>
  <c r="F233" i="3" a="1"/>
  <c r="F233" i="3" s="1"/>
  <c r="G163" i="3" a="1"/>
  <c r="G163" i="3"/>
  <c r="M4" i="4" s="1" a="1"/>
  <c r="M4" i="4" s="1"/>
  <c r="F161" i="3" a="1"/>
  <c r="F161" i="3" s="1"/>
  <c r="F160" i="3" a="1"/>
  <c r="F160" i="3" s="1"/>
  <c r="G92" i="3" a="1"/>
  <c r="G92" i="3" s="1"/>
  <c r="M3" i="4" s="1" a="1"/>
  <c r="M3" i="4" s="1"/>
  <c r="F90" i="3" a="1"/>
  <c r="F90" i="3"/>
  <c r="N3" i="4" s="1" a="1"/>
  <c r="N3" i="4" s="1"/>
  <c r="F89" i="3" a="1"/>
  <c r="F89" i="3" s="1"/>
  <c r="G43" i="3"/>
  <c r="M2" i="4" s="1" a="1"/>
  <c r="M2" i="4" s="1"/>
  <c r="F41" i="3"/>
  <c r="G42" i="3" s="1" a="1"/>
  <c r="G42" i="3" s="1"/>
  <c r="O2" i="4" s="1" a="1"/>
  <c r="O2" i="4" s="1"/>
  <c r="F40" i="3"/>
  <c r="F35" i="2"/>
  <c r="E35" i="2" a="1"/>
  <c r="E35" i="2" s="1"/>
  <c r="M33" i="2" a="1"/>
  <c r="M33" i="2" s="1"/>
  <c r="J33" i="2" a="1"/>
  <c r="J33" i="2" s="1"/>
  <c r="H33" i="2" a="1"/>
  <c r="H33" i="2" s="1"/>
  <c r="G33" i="2" a="1"/>
  <c r="G33" i="2" s="1"/>
  <c r="M32" i="2" a="1"/>
  <c r="M32" i="2"/>
  <c r="J32" i="2" a="1"/>
  <c r="J32" i="2" s="1"/>
  <c r="H32" i="2" a="1"/>
  <c r="H32" i="2" s="1"/>
  <c r="K32" i="2" s="1" a="1"/>
  <c r="K32" i="2" s="1"/>
  <c r="G32" i="2" a="1"/>
  <c r="G32" i="2"/>
  <c r="M31" i="2" a="1"/>
  <c r="M31" i="2" s="1"/>
  <c r="J31" i="2" a="1"/>
  <c r="J31" i="2" s="1"/>
  <c r="H31" i="2" a="1"/>
  <c r="H31" i="2"/>
  <c r="K31" i="2" s="1" a="1"/>
  <c r="K31" i="2" s="1"/>
  <c r="G31" i="2" a="1"/>
  <c r="G31" i="2" s="1"/>
  <c r="M30" i="2" a="1"/>
  <c r="M30" i="2" s="1"/>
  <c r="J30" i="2" a="1"/>
  <c r="J30" i="2" s="1"/>
  <c r="H30" i="2" a="1"/>
  <c r="H30" i="2" s="1"/>
  <c r="G30" i="2" a="1"/>
  <c r="G30" i="2" s="1"/>
  <c r="M29" i="2" a="1"/>
  <c r="M29" i="2" s="1"/>
  <c r="J29" i="2" a="1"/>
  <c r="J29" i="2"/>
  <c r="L29" i="2" s="1" a="1"/>
  <c r="L29" i="2" s="1"/>
  <c r="I29" i="2" a="1"/>
  <c r="I29" i="2" s="1"/>
  <c r="H29" i="2" a="1"/>
  <c r="H29" i="2" s="1"/>
  <c r="G29" i="2" a="1"/>
  <c r="G29" i="2" s="1"/>
  <c r="M28" i="2" a="1"/>
  <c r="M28" i="2" s="1"/>
  <c r="J28" i="2" a="1"/>
  <c r="J28" i="2" s="1"/>
  <c r="H28" i="2" a="1"/>
  <c r="H28" i="2" s="1"/>
  <c r="G28" i="2" a="1"/>
  <c r="G28" i="2" s="1"/>
  <c r="M27" i="2" a="1"/>
  <c r="M27" i="2" s="1"/>
  <c r="J27" i="2" a="1"/>
  <c r="J27" i="2" s="1"/>
  <c r="H27" i="2" a="1"/>
  <c r="H27" i="2" s="1"/>
  <c r="G27" i="2" a="1"/>
  <c r="G27" i="2" s="1"/>
  <c r="M26" i="2" a="1"/>
  <c r="M26" i="2"/>
  <c r="J26" i="2" a="1"/>
  <c r="J26" i="2" s="1"/>
  <c r="H26" i="2" a="1"/>
  <c r="H26" i="2" s="1"/>
  <c r="K26" i="2" s="1" a="1"/>
  <c r="K26" i="2" s="1"/>
  <c r="G26" i="2" a="1"/>
  <c r="G26" i="2"/>
  <c r="M25" i="2" a="1"/>
  <c r="M25" i="2" s="1"/>
  <c r="J25" i="2" a="1"/>
  <c r="J25" i="2" s="1"/>
  <c r="H25" i="2" a="1"/>
  <c r="H25" i="2"/>
  <c r="K25" i="2" s="1" a="1"/>
  <c r="K25" i="2" s="1"/>
  <c r="G25" i="2" a="1"/>
  <c r="G25" i="2" s="1"/>
  <c r="M24" i="2" a="1"/>
  <c r="M24" i="2" s="1"/>
  <c r="J24" i="2" a="1"/>
  <c r="J24" i="2" s="1"/>
  <c r="H24" i="2" a="1"/>
  <c r="H24" i="2" s="1"/>
  <c r="G24" i="2" a="1"/>
  <c r="G24" i="2" s="1"/>
  <c r="M23" i="2" a="1"/>
  <c r="M23" i="2" s="1"/>
  <c r="J23" i="2" a="1"/>
  <c r="J23" i="2"/>
  <c r="L23" i="2" s="1" a="1"/>
  <c r="L23" i="2" s="1"/>
  <c r="I23" i="2" a="1"/>
  <c r="I23" i="2" s="1"/>
  <c r="H23" i="2" a="1"/>
  <c r="H23" i="2" s="1"/>
  <c r="G23" i="2" a="1"/>
  <c r="G23" i="2" s="1"/>
  <c r="M22" i="2" a="1"/>
  <c r="M22" i="2" s="1"/>
  <c r="J22" i="2" a="1"/>
  <c r="J22" i="2" s="1"/>
  <c r="H22" i="2" a="1"/>
  <c r="H22" i="2" s="1"/>
  <c r="G22" i="2" a="1"/>
  <c r="G22" i="2" s="1"/>
  <c r="M21" i="2" a="1"/>
  <c r="M21" i="2" s="1"/>
  <c r="J21" i="2" a="1"/>
  <c r="J21" i="2" s="1"/>
  <c r="H21" i="2" a="1"/>
  <c r="H21" i="2" s="1"/>
  <c r="G21" i="2" a="1"/>
  <c r="G21" i="2" s="1"/>
  <c r="M20" i="2" a="1"/>
  <c r="M20" i="2"/>
  <c r="J20" i="2" a="1"/>
  <c r="J20" i="2" s="1"/>
  <c r="H20" i="2" a="1"/>
  <c r="H20" i="2" s="1"/>
  <c r="K20" i="2" s="1" a="1"/>
  <c r="K20" i="2" s="1"/>
  <c r="G20" i="2" a="1"/>
  <c r="G20" i="2"/>
  <c r="M19" i="2" a="1"/>
  <c r="M19" i="2" s="1"/>
  <c r="J19" i="2" a="1"/>
  <c r="J19" i="2" s="1"/>
  <c r="H19" i="2" a="1"/>
  <c r="H19" i="2"/>
  <c r="G19" i="2" a="1"/>
  <c r="G19" i="2" s="1"/>
  <c r="M18" i="2" a="1"/>
  <c r="M18" i="2" s="1"/>
  <c r="J18" i="2" a="1"/>
  <c r="J18" i="2" s="1"/>
  <c r="H18" i="2" a="1"/>
  <c r="H18" i="2" s="1"/>
  <c r="G18" i="2" a="1"/>
  <c r="G18" i="2" s="1"/>
  <c r="M17" i="2" a="1"/>
  <c r="M17" i="2" s="1"/>
  <c r="J17" i="2" a="1"/>
  <c r="J17" i="2"/>
  <c r="L17" i="2" s="1" a="1"/>
  <c r="L17" i="2" s="1"/>
  <c r="I17" i="2" a="1"/>
  <c r="I17" i="2" s="1"/>
  <c r="H17" i="2" a="1"/>
  <c r="H17" i="2" s="1"/>
  <c r="K17" i="2" s="1" a="1"/>
  <c r="K17" i="2" s="1"/>
  <c r="G17" i="2" a="1"/>
  <c r="G17" i="2" s="1"/>
  <c r="M16" i="2" a="1"/>
  <c r="M16" i="2" s="1"/>
  <c r="J16" i="2" a="1"/>
  <c r="J16" i="2" s="1"/>
  <c r="H16" i="2" a="1"/>
  <c r="H16" i="2" s="1"/>
  <c r="K16" i="2" s="1" a="1"/>
  <c r="K16" i="2" s="1"/>
  <c r="G16" i="2" a="1"/>
  <c r="G16" i="2" s="1"/>
  <c r="M15" i="2" a="1"/>
  <c r="M15" i="2" s="1"/>
  <c r="J15" i="2" a="1"/>
  <c r="J15" i="2" s="1"/>
  <c r="H15" i="2" a="1"/>
  <c r="H15" i="2" s="1"/>
  <c r="G15" i="2" a="1"/>
  <c r="G15" i="2" s="1"/>
  <c r="M14" i="2" a="1"/>
  <c r="M14" i="2"/>
  <c r="J14" i="2" a="1"/>
  <c r="J14" i="2" s="1"/>
  <c r="H14" i="2" a="1"/>
  <c r="H14" i="2" s="1"/>
  <c r="K14" i="2" s="1" a="1"/>
  <c r="K14" i="2" s="1"/>
  <c r="G14" i="2" a="1"/>
  <c r="G14" i="2"/>
  <c r="M13" i="2" a="1"/>
  <c r="M13" i="2" s="1"/>
  <c r="J13" i="2" a="1"/>
  <c r="J13" i="2" s="1"/>
  <c r="H13" i="2" a="1"/>
  <c r="H13" i="2"/>
  <c r="G13" i="2" a="1"/>
  <c r="G13" i="2" s="1"/>
  <c r="M12" i="2" a="1"/>
  <c r="M12" i="2" s="1"/>
  <c r="J12" i="2" a="1"/>
  <c r="J12" i="2" s="1"/>
  <c r="H12" i="2" a="1"/>
  <c r="H12" i="2" s="1"/>
  <c r="K12" i="2" s="1" a="1"/>
  <c r="K12" i="2" s="1"/>
  <c r="G12" i="2"/>
  <c r="M11" i="2" a="1"/>
  <c r="M11" i="2"/>
  <c r="J11" i="2" a="1"/>
  <c r="J11" i="2"/>
  <c r="L11" i="2" s="1" a="1"/>
  <c r="L11" i="2" s="1"/>
  <c r="I11" i="2" a="1"/>
  <c r="I11" i="2"/>
  <c r="H11" i="2" a="1"/>
  <c r="H11" i="2"/>
  <c r="K11" i="2" s="1" a="1"/>
  <c r="K11" i="2" s="1"/>
  <c r="G11" i="2" a="1"/>
  <c r="G11" i="2"/>
  <c r="M10" i="2" a="1"/>
  <c r="M10" i="2"/>
  <c r="J10" i="2" a="1"/>
  <c r="J10" i="2"/>
  <c r="I10" i="2" s="1" a="1"/>
  <c r="I10" i="2" s="1"/>
  <c r="H10" i="2" a="1"/>
  <c r="H10" i="2"/>
  <c r="K10" i="2" s="1" a="1"/>
  <c r="K10" i="2" s="1"/>
  <c r="G10" i="2" a="1"/>
  <c r="G10" i="2"/>
  <c r="M9" i="2" a="1"/>
  <c r="M9" i="2"/>
  <c r="K9" i="2" a="1"/>
  <c r="K9" i="2"/>
  <c r="J9" i="2" a="1"/>
  <c r="J9" i="2"/>
  <c r="I9" i="2" s="1" a="1"/>
  <c r="I9" i="2" s="1"/>
  <c r="H9" i="2" a="1"/>
  <c r="H9" i="2"/>
  <c r="G9" i="2" a="1"/>
  <c r="G9" i="2"/>
  <c r="M8" i="2" a="1"/>
  <c r="M8" i="2"/>
  <c r="L8" i="2" a="1"/>
  <c r="L8" i="2"/>
  <c r="J8" i="2" a="1"/>
  <c r="J8" i="2"/>
  <c r="I8" i="2" s="1" a="1"/>
  <c r="I8" i="2" s="1"/>
  <c r="H8" i="2" a="1"/>
  <c r="H8" i="2"/>
  <c r="K8" i="2" s="1" a="1"/>
  <c r="K8" i="2" s="1"/>
  <c r="G8" i="2" a="1"/>
  <c r="G8" i="2"/>
  <c r="M7" i="2" a="1"/>
  <c r="M7" i="2"/>
  <c r="J7" i="2" a="1"/>
  <c r="J7" i="2"/>
  <c r="L7" i="2" s="1" a="1"/>
  <c r="L7" i="2" s="1"/>
  <c r="H7" i="2" a="1"/>
  <c r="H7" i="2"/>
  <c r="K7" i="2" s="1" a="1"/>
  <c r="K7" i="2" s="1"/>
  <c r="G7" i="2" a="1"/>
  <c r="G7" i="2"/>
  <c r="M6" i="2" a="1"/>
  <c r="M6" i="2"/>
  <c r="J6" i="2" a="1"/>
  <c r="J6" i="2"/>
  <c r="L6" i="2" s="1" a="1"/>
  <c r="L6" i="2" s="1"/>
  <c r="H6" i="2" a="1"/>
  <c r="H6" i="2"/>
  <c r="K6" i="2" s="1" a="1"/>
  <c r="K6" i="2" s="1"/>
  <c r="G6" i="2" a="1"/>
  <c r="G6" i="2"/>
  <c r="M5" i="2" a="1"/>
  <c r="M5" i="2"/>
  <c r="J5" i="2" a="1"/>
  <c r="J5" i="2"/>
  <c r="L5" i="2" s="1" a="1"/>
  <c r="L5" i="2" s="1"/>
  <c r="I5" i="2" a="1"/>
  <c r="I5" i="2"/>
  <c r="H5" i="2" a="1"/>
  <c r="H5" i="2"/>
  <c r="K5" i="2" s="1" a="1"/>
  <c r="K5" i="2" s="1"/>
  <c r="G5" i="2" a="1"/>
  <c r="G5" i="2"/>
  <c r="M4" i="2" a="1"/>
  <c r="M4" i="2"/>
  <c r="J4" i="2" a="1"/>
  <c r="J4" i="2"/>
  <c r="I4" i="2" s="1" a="1"/>
  <c r="I4" i="2" s="1"/>
  <c r="H4" i="2" a="1"/>
  <c r="H4" i="2"/>
  <c r="K4" i="2" s="1" a="1"/>
  <c r="K4" i="2" s="1"/>
  <c r="G4" i="2" a="1"/>
  <c r="G4" i="2"/>
  <c r="M3" i="2" a="1"/>
  <c r="M3" i="2"/>
  <c r="K3" i="2" a="1"/>
  <c r="K3" i="2"/>
  <c r="J3" i="2" a="1"/>
  <c r="J3" i="2"/>
  <c r="I3" i="2" s="1" a="1"/>
  <c r="I3" i="2" s="1"/>
  <c r="H3" i="2" a="1"/>
  <c r="H3" i="2"/>
  <c r="G3" i="2" a="1"/>
  <c r="G3" i="2"/>
  <c r="M2" i="2" a="1"/>
  <c r="M2" i="2"/>
  <c r="L2" i="2" a="1"/>
  <c r="L2" i="2"/>
  <c r="J2" i="2" a="1"/>
  <c r="J2" i="2"/>
  <c r="I2" i="2" s="1" a="1"/>
  <c r="I2" i="2" s="1"/>
  <c r="H2" i="2" a="1"/>
  <c r="H2" i="2"/>
  <c r="G2" i="2" a="1"/>
  <c r="G2" i="2"/>
  <c r="A61" i="1" a="1"/>
  <c r="A61" i="1"/>
  <c r="E59" i="1" a="1"/>
  <c r="E59" i="1"/>
  <c r="E58" i="1" a="1"/>
  <c r="E58" i="1"/>
  <c r="E57" i="1" a="1"/>
  <c r="E57" i="1"/>
  <c r="E56" i="1" a="1"/>
  <c r="E56" i="1"/>
  <c r="E55" i="1" a="1"/>
  <c r="E55" i="1"/>
  <c r="E54" i="1" a="1"/>
  <c r="E54" i="1"/>
  <c r="E53" i="1" a="1"/>
  <c r="E53" i="1"/>
  <c r="E52" i="1" a="1"/>
  <c r="E52" i="1"/>
  <c r="E51" i="1" a="1"/>
  <c r="E51" i="1"/>
  <c r="E61" i="1" s="1" a="1"/>
  <c r="E61" i="1" s="1"/>
  <c r="B61" i="1" s="1" a="1"/>
  <c r="B61" i="1" s="1"/>
  <c r="C61" i="1" s="1" a="1"/>
  <c r="C61" i="1" s="1"/>
  <c r="E50" i="1" a="1"/>
  <c r="E50" i="1"/>
  <c r="A40" i="1" a="1"/>
  <c r="A40" i="1"/>
  <c r="I38" i="1" a="1"/>
  <c r="I38" i="1"/>
  <c r="H38" i="1" a="1"/>
  <c r="H38" i="1"/>
  <c r="G38" i="1" a="1"/>
  <c r="G38" i="1"/>
  <c r="I36" i="1" a="1"/>
  <c r="I36" i="1"/>
  <c r="H36" i="1" a="1"/>
  <c r="H36" i="1"/>
  <c r="G36" i="1" a="1"/>
  <c r="G36" i="1"/>
  <c r="I35" i="1" a="1"/>
  <c r="I35" i="1"/>
  <c r="H35" i="1" a="1"/>
  <c r="H35" i="1"/>
  <c r="G35" i="1" a="1"/>
  <c r="G35" i="1"/>
  <c r="I33" i="1" a="1"/>
  <c r="I33" i="1"/>
  <c r="H33" i="1" a="1"/>
  <c r="H33" i="1"/>
  <c r="G33" i="1" a="1"/>
  <c r="G33" i="1"/>
  <c r="I32" i="1" a="1"/>
  <c r="I32" i="1"/>
  <c r="H32" i="1" a="1"/>
  <c r="H32" i="1"/>
  <c r="G32" i="1" a="1"/>
  <c r="G32" i="1"/>
  <c r="I30" i="1" a="1"/>
  <c r="I30" i="1"/>
  <c r="H30" i="1" a="1"/>
  <c r="H30" i="1"/>
  <c r="G30" i="1" a="1"/>
  <c r="G30" i="1"/>
  <c r="I29" i="1" a="1"/>
  <c r="I29" i="1"/>
  <c r="H29" i="1" a="1"/>
  <c r="H29" i="1"/>
  <c r="G29" i="1" a="1"/>
  <c r="G29" i="1"/>
  <c r="I27" i="1" a="1"/>
  <c r="I27" i="1"/>
  <c r="H27" i="1" a="1"/>
  <c r="H27" i="1"/>
  <c r="G27" i="1" a="1"/>
  <c r="G27" i="1"/>
  <c r="I26" i="1" a="1"/>
  <c r="I26" i="1"/>
  <c r="H26" i="1" a="1"/>
  <c r="H26" i="1"/>
  <c r="G26" i="1" a="1"/>
  <c r="G26" i="1"/>
  <c r="I24" i="1" a="1"/>
  <c r="I24" i="1"/>
  <c r="H24" i="1" a="1"/>
  <c r="H24" i="1"/>
  <c r="G24" i="1" a="1"/>
  <c r="G24" i="1"/>
  <c r="I23" i="1" a="1"/>
  <c r="I23" i="1"/>
  <c r="H23" i="1" a="1"/>
  <c r="H23" i="1"/>
  <c r="G23" i="1" a="1"/>
  <c r="G23" i="1"/>
  <c r="I22" i="1" a="1"/>
  <c r="I22" i="1"/>
  <c r="H22" i="1" a="1"/>
  <c r="H22" i="1"/>
  <c r="G22" i="1" a="1"/>
  <c r="G22" i="1"/>
  <c r="I21" i="1" a="1"/>
  <c r="I21" i="1"/>
  <c r="H21" i="1" a="1"/>
  <c r="H21" i="1"/>
  <c r="G21" i="1" a="1"/>
  <c r="G21" i="1"/>
  <c r="I20" i="1" a="1"/>
  <c r="I20" i="1"/>
  <c r="H20" i="1" a="1"/>
  <c r="H20" i="1"/>
  <c r="G20" i="1" a="1"/>
  <c r="G20" i="1"/>
  <c r="I19" i="1" a="1"/>
  <c r="I19" i="1"/>
  <c r="H19" i="1" a="1"/>
  <c r="H19" i="1"/>
  <c r="G19" i="1" a="1"/>
  <c r="G19" i="1"/>
  <c r="I18" i="1" a="1"/>
  <c r="I18" i="1"/>
  <c r="H18" i="1" a="1"/>
  <c r="H18" i="1"/>
  <c r="G18" i="1" a="1"/>
  <c r="G18" i="1"/>
  <c r="I17" i="1" a="1"/>
  <c r="I17" i="1"/>
  <c r="H17" i="1" a="1"/>
  <c r="H17" i="1"/>
  <c r="G17" i="1" a="1"/>
  <c r="G17" i="1"/>
  <c r="I16" i="1" a="1"/>
  <c r="I16" i="1"/>
  <c r="H16" i="1" a="1"/>
  <c r="H16" i="1"/>
  <c r="G16" i="1" a="1"/>
  <c r="G16" i="1"/>
  <c r="I15" i="1" a="1"/>
  <c r="I15" i="1"/>
  <c r="H15" i="1" a="1"/>
  <c r="H15" i="1"/>
  <c r="G15" i="1" a="1"/>
  <c r="G15" i="1"/>
  <c r="I14" i="1" a="1"/>
  <c r="I14" i="1"/>
  <c r="H14" i="1" a="1"/>
  <c r="H14" i="1"/>
  <c r="G14" i="1" a="1"/>
  <c r="G14" i="1"/>
  <c r="I13" i="1" a="1"/>
  <c r="I13" i="1"/>
  <c r="H13" i="1" a="1"/>
  <c r="H13" i="1"/>
  <c r="G13" i="1" a="1"/>
  <c r="G13" i="1"/>
  <c r="I12" i="1" a="1"/>
  <c r="I12" i="1"/>
  <c r="H12" i="1" a="1"/>
  <c r="H12" i="1"/>
  <c r="G12" i="1" a="1"/>
  <c r="G12" i="1"/>
  <c r="I10" i="1" a="1"/>
  <c r="I10" i="1"/>
  <c r="H10" i="1" a="1"/>
  <c r="H10" i="1"/>
  <c r="G10" i="1" a="1"/>
  <c r="G10" i="1"/>
  <c r="I9" i="1" a="1"/>
  <c r="I9" i="1"/>
  <c r="H9" i="1" a="1"/>
  <c r="H9" i="1"/>
  <c r="G9" i="1" a="1"/>
  <c r="G9" i="1"/>
  <c r="I8" i="1" a="1"/>
  <c r="I8" i="1"/>
  <c r="H8" i="1" a="1"/>
  <c r="H8" i="1"/>
  <c r="G8" i="1" a="1"/>
  <c r="G8" i="1"/>
  <c r="I7" i="1" a="1"/>
  <c r="I7" i="1"/>
  <c r="H7" i="1" a="1"/>
  <c r="H7" i="1"/>
  <c r="G7" i="1" a="1"/>
  <c r="G7" i="1"/>
  <c r="I6" i="1" a="1"/>
  <c r="I6" i="1"/>
  <c r="H6" i="1" a="1"/>
  <c r="H6" i="1"/>
  <c r="G6" i="1" a="1"/>
  <c r="G6" i="1"/>
  <c r="I5" i="1" a="1"/>
  <c r="I5" i="1"/>
  <c r="H5" i="1" a="1"/>
  <c r="H5" i="1"/>
  <c r="G5" i="1" a="1"/>
  <c r="G5" i="1"/>
  <c r="I4" i="1" a="1"/>
  <c r="I4" i="1"/>
  <c r="H4" i="1" a="1"/>
  <c r="H4" i="1"/>
  <c r="G4" i="1" a="1"/>
  <c r="G4" i="1"/>
  <c r="I3" i="1" a="1"/>
  <c r="I3" i="1"/>
  <c r="H3" i="1" a="1"/>
  <c r="H3" i="1"/>
  <c r="G3" i="1" a="1"/>
  <c r="G3" i="1"/>
  <c r="I2" i="1" a="1"/>
  <c r="I2" i="1"/>
  <c r="I40" i="1" s="1" a="1"/>
  <c r="I40" i="1" s="1"/>
  <c r="H2" i="1" a="1"/>
  <c r="H2" i="1"/>
  <c r="H40" i="1" s="1" a="1"/>
  <c r="H40" i="1" s="1"/>
  <c r="G2" i="1" a="1"/>
  <c r="G2" i="1"/>
  <c r="G40" i="1" s="1" a="1"/>
  <c r="G40" i="1" s="1"/>
  <c r="I32" i="2" l="1" a="1"/>
  <c r="I32" i="2" s="1"/>
  <c r="L32" i="2" a="1"/>
  <c r="L32" i="2" s="1"/>
  <c r="K30" i="2" a="1"/>
  <c r="K30" i="2" s="1"/>
  <c r="L30" i="2" a="1"/>
  <c r="L30" i="2" s="1"/>
  <c r="I30" i="2" a="1"/>
  <c r="I30" i="2" s="1"/>
  <c r="K28" i="2" a="1"/>
  <c r="K28" i="2" s="1"/>
  <c r="K18" i="2" a="1"/>
  <c r="K18" i="2" s="1"/>
  <c r="L13" i="2" a="1"/>
  <c r="L13" i="2" s="1"/>
  <c r="I13" i="2" a="1"/>
  <c r="I13" i="2" s="1"/>
  <c r="L18" i="2" a="1"/>
  <c r="L18" i="2" s="1"/>
  <c r="I18" i="2" a="1"/>
  <c r="I18" i="2" s="1"/>
  <c r="I28" i="2" a="1"/>
  <c r="I28" i="2" s="1"/>
  <c r="L28" i="2" a="1"/>
  <c r="L28" i="2" s="1"/>
  <c r="K33" i="2" a="1"/>
  <c r="K33" i="2" s="1"/>
  <c r="H35" i="2" a="1"/>
  <c r="H35" i="2" s="1"/>
  <c r="K15" i="2" a="1"/>
  <c r="K15" i="2" s="1"/>
  <c r="K13" i="2" a="1"/>
  <c r="K13" i="2" s="1"/>
  <c r="I15" i="2" a="1"/>
  <c r="I15" i="2" s="1"/>
  <c r="L15" i="2" a="1"/>
  <c r="L15" i="2" s="1"/>
  <c r="I20" i="2" a="1"/>
  <c r="I20" i="2" s="1"/>
  <c r="L20" i="2" a="1"/>
  <c r="L20" i="2" s="1"/>
  <c r="L25" i="2" a="1"/>
  <c r="L25" i="2" s="1"/>
  <c r="I25" i="2" a="1"/>
  <c r="I25" i="2" s="1"/>
  <c r="N4" i="4" a="1"/>
  <c r="N4" i="4" s="1"/>
  <c r="G162" i="3" a="1"/>
  <c r="G162" i="3" s="1"/>
  <c r="O4" i="4" s="1" a="1"/>
  <c r="O4" i="4" s="1"/>
  <c r="P4" i="4" s="1"/>
  <c r="Q4" i="4" s="1"/>
  <c r="R4" i="4" s="1"/>
  <c r="I16" i="2" a="1"/>
  <c r="I16" i="2" s="1"/>
  <c r="L16" i="2" a="1"/>
  <c r="L16" i="2" s="1"/>
  <c r="K19" i="2" a="1"/>
  <c r="K19" i="2" s="1"/>
  <c r="I26" i="2" a="1"/>
  <c r="I26" i="2" s="1"/>
  <c r="L26" i="2" a="1"/>
  <c r="L26" i="2" s="1"/>
  <c r="K29" i="2" a="1"/>
  <c r="K29" i="2" s="1"/>
  <c r="L31" i="2" a="1"/>
  <c r="L31" i="2" s="1"/>
  <c r="I31" i="2" a="1"/>
  <c r="I31" i="2" s="1"/>
  <c r="A601" i="3" a="1"/>
  <c r="A601" i="3" s="1"/>
  <c r="F2" i="4"/>
  <c r="K21" i="2" a="1"/>
  <c r="K21" i="2" s="1"/>
  <c r="I21" i="2" a="1"/>
  <c r="I21" i="2" s="1"/>
  <c r="L21" i="2" a="1"/>
  <c r="L21" i="2" s="1"/>
  <c r="K24" i="2" a="1"/>
  <c r="K24" i="2" s="1"/>
  <c r="I27" i="2" a="1"/>
  <c r="I27" i="2" s="1"/>
  <c r="L27" i="2" a="1"/>
  <c r="L27" i="2" s="1"/>
  <c r="G35" i="2" a="1"/>
  <c r="G35" i="2" s="1"/>
  <c r="I33" i="2" a="1"/>
  <c r="I33" i="2" s="1"/>
  <c r="L33" i="2" a="1"/>
  <c r="L33" i="2" s="1"/>
  <c r="I14" i="2" a="1"/>
  <c r="I14" i="2" s="1"/>
  <c r="L14" i="2" a="1"/>
  <c r="L14" i="2" s="1"/>
  <c r="L19" i="2" a="1"/>
  <c r="L19" i="2" s="1"/>
  <c r="I19" i="2" a="1"/>
  <c r="I19" i="2" s="1"/>
  <c r="L24" i="2" a="1"/>
  <c r="L24" i="2" s="1"/>
  <c r="I24" i="2" a="1"/>
  <c r="I24" i="2" s="1"/>
  <c r="G235" i="3" a="1"/>
  <c r="G235" i="3" s="1"/>
  <c r="O5" i="4" s="1" a="1"/>
  <c r="O5" i="4" s="1"/>
  <c r="P5" i="4" s="1"/>
  <c r="Q5" i="4" s="1"/>
  <c r="R5" i="4" s="1"/>
  <c r="N5" i="4" a="1"/>
  <c r="N5" i="4" s="1"/>
  <c r="K23" i="2" a="1"/>
  <c r="K23" i="2" s="1"/>
  <c r="G336" i="3" a="1"/>
  <c r="G336" i="3" s="1"/>
  <c r="O6" i="4" s="1" a="1"/>
  <c r="O6" i="4" s="1"/>
  <c r="P6" i="4" s="1"/>
  <c r="Q6" i="4" s="1"/>
  <c r="R6" i="4" s="1"/>
  <c r="N6" i="4" a="1"/>
  <c r="N6" i="4" s="1"/>
  <c r="K22" i="2" a="1"/>
  <c r="K22" i="2" s="1"/>
  <c r="P2" i="4"/>
  <c r="M35" i="2" a="1"/>
  <c r="M35" i="2" s="1"/>
  <c r="E2" i="4" s="1"/>
  <c r="L12" i="2" a="1"/>
  <c r="L12" i="2" s="1"/>
  <c r="I12" i="2" a="1"/>
  <c r="I12" i="2" s="1"/>
  <c r="I22" i="2" a="1"/>
  <c r="I22" i="2" s="1"/>
  <c r="L22" i="2" a="1"/>
  <c r="L22" i="2" s="1"/>
  <c r="K27" i="2" a="1"/>
  <c r="K27" i="2" s="1"/>
  <c r="M13" i="4" a="1"/>
  <c r="M13" i="4" s="1"/>
  <c r="G532" i="3" a="1"/>
  <c r="G532" i="3" s="1"/>
  <c r="O11" i="4" s="1"/>
  <c r="P11" i="4" s="1"/>
  <c r="Q11" i="4" s="1"/>
  <c r="R11" i="4" s="1"/>
  <c r="L3" i="2" a="1"/>
  <c r="L3" i="2" s="1"/>
  <c r="L35" i="2" s="1" a="1"/>
  <c r="L35" i="2" s="1"/>
  <c r="I6" i="2" a="1"/>
  <c r="I6" i="2" s="1"/>
  <c r="L9" i="2" a="1"/>
  <c r="L9" i="2" s="1"/>
  <c r="G91" i="3" a="1"/>
  <c r="G91" i="3" s="1"/>
  <c r="O3" i="4" s="1" a="1"/>
  <c r="O3" i="4" s="1"/>
  <c r="P3" i="4" s="1"/>
  <c r="Q3" i="4" s="1"/>
  <c r="R3" i="4" s="1"/>
  <c r="G478" i="3" a="1"/>
  <c r="G478" i="3" s="1"/>
  <c r="O9" i="4" s="1"/>
  <c r="P9" i="4" s="1"/>
  <c r="Q9" i="4" s="1"/>
  <c r="R9" i="4" s="1"/>
  <c r="N10" i="4"/>
  <c r="N12" i="4"/>
  <c r="L4" i="2" a="1"/>
  <c r="L4" i="2" s="1"/>
  <c r="I7" i="2" a="1"/>
  <c r="I7" i="2" s="1"/>
  <c r="L10" i="2" a="1"/>
  <c r="L10" i="2" s="1"/>
  <c r="G397" i="3" a="1"/>
  <c r="G397" i="3" s="1"/>
  <c r="O7" i="4" s="1" a="1"/>
  <c r="O7" i="4" s="1"/>
  <c r="P7" i="4" s="1"/>
  <c r="Q7" i="4" s="1"/>
  <c r="R7" i="4" s="1"/>
  <c r="K2" i="2" a="1"/>
  <c r="K2" i="2" s="1"/>
  <c r="O13" i="4" l="1" a="1"/>
  <c r="O13" i="4" s="1"/>
  <c r="P13" i="4" a="1"/>
  <c r="P13" i="4" s="1"/>
  <c r="Q2" i="4"/>
  <c r="F3" i="4"/>
  <c r="K35" i="2" a="1"/>
  <c r="K35" i="2" s="1"/>
  <c r="Q13" i="4" l="1" a="1"/>
  <c r="Q13" i="4" s="1"/>
  <c r="R2" i="4"/>
  <c r="R13" i="4" s="1" a="1"/>
  <c r="R13" i="4" s="1"/>
</calcChain>
</file>

<file path=xl/sharedStrings.xml><?xml version="1.0" encoding="utf-8"?>
<sst xmlns="http://schemas.openxmlformats.org/spreadsheetml/2006/main" count="302" uniqueCount="165">
  <si>
    <t>Quantidade</t>
  </si>
  <si>
    <t>Nome do Produto</t>
  </si>
  <si>
    <t>Marca Produto</t>
  </si>
  <si>
    <t>LOJA</t>
  </si>
  <si>
    <t>LOJA 2</t>
  </si>
  <si>
    <t>LOJA 3</t>
  </si>
  <si>
    <t>PEDIDO LOJA</t>
  </si>
  <si>
    <t>PEDIDO LOJA 2</t>
  </si>
  <si>
    <t>PEDIDO LOJA 3</t>
  </si>
  <si>
    <t>Total</t>
  </si>
  <si>
    <t>TOTAL</t>
  </si>
  <si>
    <t>Valor</t>
  </si>
  <si>
    <t>Frete</t>
  </si>
  <si>
    <t>Reais</t>
  </si>
  <si>
    <t>Produto e Peso</t>
  </si>
  <si>
    <t>Marca</t>
  </si>
  <si>
    <t>Valor de Custo</t>
  </si>
  <si>
    <t>Valor de Venda</t>
  </si>
  <si>
    <t>Estoque</t>
  </si>
  <si>
    <t>Vendida</t>
  </si>
  <si>
    <t>Estoque Custo</t>
  </si>
  <si>
    <t>Estoque Venda</t>
  </si>
  <si>
    <t>Margem</t>
  </si>
  <si>
    <t>Lucro Unitário</t>
  </si>
  <si>
    <t>Previsão de Lucro Final</t>
  </si>
  <si>
    <t>Lucro Obtido</t>
  </si>
  <si>
    <t>Total Custo</t>
  </si>
  <si>
    <t>TIRZEPATIDA</t>
  </si>
  <si>
    <t>TG</t>
  </si>
  <si>
    <t>LIPOLESS</t>
  </si>
  <si>
    <t>TIRZEC</t>
  </si>
  <si>
    <t>GHKCU</t>
  </si>
  <si>
    <t>EDGE VITAL</t>
  </si>
  <si>
    <t>SINEDICA</t>
  </si>
  <si>
    <t>TIRZEPATIDA AMPOLA</t>
  </si>
  <si>
    <t>RETATRUTIDA</t>
  </si>
  <si>
    <t xml:space="preserve">BOTOX </t>
  </si>
  <si>
    <t>DYSPORT</t>
  </si>
  <si>
    <t xml:space="preserve">PISA </t>
  </si>
  <si>
    <t>PERFUME</t>
  </si>
  <si>
    <t xml:space="preserve">CANETA GLOW </t>
  </si>
  <si>
    <t>ALLUVI</t>
  </si>
  <si>
    <t>MADAGASCAR</t>
  </si>
  <si>
    <t>CENTELLA</t>
  </si>
  <si>
    <t>NUMBUZIN</t>
  </si>
  <si>
    <t>RETINAL</t>
  </si>
  <si>
    <t>MELATONIN</t>
  </si>
  <si>
    <t>NATROL</t>
  </si>
  <si>
    <t>CHANTS</t>
  </si>
  <si>
    <t>SABAH SUGAR</t>
  </si>
  <si>
    <t>SABAH AL WARD</t>
  </si>
  <si>
    <t>KIT YARA</t>
  </si>
  <si>
    <t>YARA ELIXIR</t>
  </si>
  <si>
    <t>CARTELA</t>
  </si>
  <si>
    <t>CBC</t>
  </si>
  <si>
    <t>Quantidade Estoque:</t>
  </si>
  <si>
    <t>Quantidade Vendida:</t>
  </si>
  <si>
    <t>Estoque Atacado Total:</t>
  </si>
  <si>
    <t>Estoque Varejo Total:</t>
  </si>
  <si>
    <t>PORCENTAGEM META</t>
  </si>
  <si>
    <t>Previsão Total de Lucro:</t>
  </si>
  <si>
    <t>Lucro Obtido:</t>
  </si>
  <si>
    <t>Atacado saida:</t>
  </si>
  <si>
    <t>NOME</t>
  </si>
  <si>
    <t>MARCA</t>
  </si>
  <si>
    <t>QUANTIDADE</t>
  </si>
  <si>
    <t>VALOR DE CUSTO</t>
  </si>
  <si>
    <t>VALOR DE TOTAL DE VENDA</t>
  </si>
  <si>
    <t>CLIENTE</t>
  </si>
  <si>
    <t>RETRATUTIDA</t>
  </si>
  <si>
    <t>EUDIS</t>
  </si>
  <si>
    <t>TITU</t>
  </si>
  <si>
    <t>PISA</t>
  </si>
  <si>
    <t>ESPOSA FELIPE</t>
  </si>
  <si>
    <t>DOUGLAS MERCEARIA</t>
  </si>
  <si>
    <t>JUSSARA</t>
  </si>
  <si>
    <t>TITU L</t>
  </si>
  <si>
    <t>ADRIANA</t>
  </si>
  <si>
    <t xml:space="preserve">RAFAEL CIRCO </t>
  </si>
  <si>
    <t>BOTOX</t>
  </si>
  <si>
    <t>MIKAEL BH</t>
  </si>
  <si>
    <t>NERY</t>
  </si>
  <si>
    <t>SCHALANA</t>
  </si>
  <si>
    <t xml:space="preserve">TIRZEPATIDA </t>
  </si>
  <si>
    <t>TIA VINICIUS FELIX</t>
  </si>
  <si>
    <t>MONIQUE KETULE</t>
  </si>
  <si>
    <t>NICOLE VINICIUS</t>
  </si>
  <si>
    <t xml:space="preserve">TIZERPATIDA </t>
  </si>
  <si>
    <t>ANDINHO</t>
  </si>
  <si>
    <t>WESLEY</t>
  </si>
  <si>
    <t>DIONATA BETO</t>
  </si>
  <si>
    <t>RYAN</t>
  </si>
  <si>
    <t>Pmmg</t>
  </si>
  <si>
    <t>TIRZERPATIDA</t>
  </si>
  <si>
    <t xml:space="preserve">RODRIGO ELETRICISTA </t>
  </si>
  <si>
    <t xml:space="preserve">ZE CARLINHOS </t>
  </si>
  <si>
    <t>LUCRO MÊS AGOSTO</t>
  </si>
  <si>
    <t>FIM DE AGOSTO/26  |ITENS VENDIDOS:</t>
  </si>
  <si>
    <t>FORD RANGER JUNIOR</t>
  </si>
  <si>
    <t>SYNEDICA</t>
  </si>
  <si>
    <t>JUNINHO PETROLUB</t>
  </si>
  <si>
    <t>IGOR LAVA JATO</t>
  </si>
  <si>
    <t xml:space="preserve">LIPOLESS </t>
  </si>
  <si>
    <t>ZE CARLINHO</t>
  </si>
  <si>
    <t>ZE CARLINNO</t>
  </si>
  <si>
    <t>MARCIA GOMES JU</t>
  </si>
  <si>
    <t xml:space="preserve">LORENA MERCEARIA </t>
  </si>
  <si>
    <t>AMIGA KETY</t>
  </si>
  <si>
    <t>KLEBER</t>
  </si>
  <si>
    <t>CAROL MARTINS</t>
  </si>
  <si>
    <t>LUCRO MÊS SETEMBRO</t>
  </si>
  <si>
    <t>FIM DE SETEMBRO/26|ITENS VENDIDOS:</t>
  </si>
  <si>
    <t>LUCRO MÊS MARÇO</t>
  </si>
  <si>
    <t>FIM DE MARÇO |ITENS VENDIDOS:</t>
  </si>
  <si>
    <t>LUCRO MÊS ABRIL</t>
  </si>
  <si>
    <t>FIM DE ABRIL |ITENS VENDIDOS:</t>
  </si>
  <si>
    <t>LUCRO MÊS MAIO</t>
  </si>
  <si>
    <t>FIM DE MAIO |ITENS VENDIDOS:</t>
  </si>
  <si>
    <t>LUCRO MÊS JUNHO</t>
  </si>
  <si>
    <t>FIM DE JUNHO |ITENS VENDIDOS:</t>
  </si>
  <si>
    <t>LUCRO MÊS JULHO</t>
  </si>
  <si>
    <t>Lucro Real Obtido:</t>
  </si>
  <si>
    <t>Quantidade:</t>
  </si>
  <si>
    <t>Valor de Custo:</t>
  </si>
  <si>
    <t>Valor Total Bruto:</t>
  </si>
  <si>
    <t>SAÍDA</t>
  </si>
  <si>
    <t>DATA</t>
  </si>
  <si>
    <t>VALOR</t>
  </si>
  <si>
    <t>TOTAL SAÍDA</t>
  </si>
  <si>
    <t>TOTAL ENTRADAS</t>
  </si>
  <si>
    <t xml:space="preserve">AGUARDANDO </t>
  </si>
  <si>
    <t>PAGAMENTO</t>
  </si>
  <si>
    <t>MÊS</t>
  </si>
  <si>
    <t>BRUTO</t>
  </si>
  <si>
    <t>LUCRO</t>
  </si>
  <si>
    <t>CUSTO FIXO/VARIADO</t>
  </si>
  <si>
    <t>PRO-LABORE</t>
  </si>
  <si>
    <t>INVESTIR</t>
  </si>
  <si>
    <t>Comissão Alicy</t>
  </si>
  <si>
    <t>AGOSTO/26</t>
  </si>
  <si>
    <t xml:space="preserve">SAQUE MES 8 </t>
  </si>
  <si>
    <t xml:space="preserve">TITU </t>
  </si>
  <si>
    <t>SETEMBRO/26</t>
  </si>
  <si>
    <t>FIADO + SALDO</t>
  </si>
  <si>
    <t xml:space="preserve">ADRIANA </t>
  </si>
  <si>
    <t>MARÇO</t>
  </si>
  <si>
    <t xml:space="preserve"> </t>
  </si>
  <si>
    <t>RAFAEL CIRCO</t>
  </si>
  <si>
    <t>ABRIL</t>
  </si>
  <si>
    <t>RODRIGO ELETRI</t>
  </si>
  <si>
    <t>JUNHO</t>
  </si>
  <si>
    <t>PATRÍCIA NERY</t>
  </si>
  <si>
    <t>JULHO</t>
  </si>
  <si>
    <t>MIKAELA BH</t>
  </si>
  <si>
    <t>AGOSTO</t>
  </si>
  <si>
    <t>FILIPE GELADEIRA</t>
  </si>
  <si>
    <t xml:space="preserve">ALICE LOJA </t>
  </si>
  <si>
    <t xml:space="preserve">ZÉ CARLINHO </t>
  </si>
  <si>
    <t>PETROLUB</t>
  </si>
  <si>
    <t>SETEMBRO</t>
  </si>
  <si>
    <t>IGOR LAVA LAJO</t>
  </si>
  <si>
    <t>OUTUBRO</t>
  </si>
  <si>
    <t>NOVEMBRO</t>
  </si>
  <si>
    <t>DEZEMBRO</t>
  </si>
  <si>
    <t>DIVIDA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</si>
</sst>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 R$ &quot;* #,##0.00&quot; &quot;;&quot;-R$ &quot;* #,##0.00&quot; &quot;;&quot; R$ &quot;* &quot;-&quot;??&quot; &quot;"/>
    <numFmt numFmtId="165" formatCode="&quot;R$ &quot;#,##0.00"/>
    <numFmt numFmtId="166" formatCode="dddd&quot;, &quot;mmmm&quot; &quot;dd&quot;, &quot;yyyy"/>
    <numFmt numFmtId="167" formatCode="[$R$ -416]#,##0.00"/>
    <numFmt numFmtId="168" formatCode="&quot;R$&quot;#,##0.00"/>
    <numFmt numFmtId="169" formatCode="&quot;$&quot;#,##0.00"/>
  </numFmts>
  <fonts count="39">
    <font>
      <sz val="11"/>
      <color rgb="FF000000"/>
      <name val="Libre Franklin"/>
      <scheme val="minor"/>
    </font>
    <font>
      <b/>
      <sz val="11"/>
      <color rgb="FFFFFFFF"/>
      <name val="Libre Franklin"/>
    </font>
    <font>
      <b/>
      <sz val="11"/>
      <color rgb="FFFF0000"/>
      <name val="Libre Franklin"/>
    </font>
    <font>
      <b/>
      <sz val="10"/>
      <color rgb="FFFFFFFF"/>
      <name val="Libre Franklin"/>
    </font>
    <font>
      <b/>
      <sz val="11"/>
      <color rgb="FF00B050"/>
      <name val="Libre Franklin"/>
    </font>
    <font>
      <sz val="11"/>
      <color rgb="FF000000"/>
      <name val="Libre Franklin"/>
    </font>
    <font>
      <sz val="12"/>
      <color rgb="FF002060"/>
      <name val="Libre Franklin"/>
    </font>
    <font>
      <i/>
      <sz val="11"/>
      <color rgb="FF1F497D"/>
      <name val="Libre Franklin"/>
    </font>
    <font>
      <sz val="12"/>
      <color rgb="FF1F497D"/>
      <name val="Libre Franklin"/>
    </font>
    <font>
      <b/>
      <i/>
      <sz val="10"/>
      <color rgb="FF7030A0"/>
      <name val="Libre Franklin"/>
    </font>
    <font>
      <sz val="10"/>
      <color rgb="FF7030A0"/>
      <name val="Libre Franklin"/>
    </font>
    <font>
      <sz val="12"/>
      <color rgb="FFFF0000"/>
      <name val="Libre Franklin"/>
    </font>
    <font>
      <sz val="12"/>
      <color rgb="FF00B050"/>
      <name val="Libre Franklin"/>
    </font>
    <font>
      <i/>
      <sz val="10"/>
      <color rgb="FFFF0000"/>
      <name val="Libre Franklin"/>
    </font>
    <font>
      <sz val="11"/>
      <color rgb="FFFF0000"/>
      <name val="Libre Franklin"/>
    </font>
    <font>
      <i/>
      <sz val="10"/>
      <color rgb="FF00B050"/>
      <name val="Libre Franklin"/>
    </font>
    <font>
      <i/>
      <sz val="10"/>
      <color rgb="FF0070C0"/>
      <name val="Libre Franklin"/>
    </font>
    <font>
      <sz val="11"/>
      <color rgb="FFFFFFFF"/>
      <name val="Libre Franklin"/>
    </font>
    <font>
      <sz val="11"/>
      <color rgb="FF1F497D"/>
      <name val="Libre Franklin"/>
    </font>
    <font>
      <sz val="11"/>
      <color rgb="FF00B050"/>
      <name val="Libre Franklin"/>
    </font>
    <font>
      <sz val="10"/>
      <color rgb="FFFF0000"/>
      <name val="Libre Franklin"/>
    </font>
    <font>
      <sz val="11"/>
      <color theme="1"/>
      <name val="Libre Franklin"/>
      <scheme val="minor"/>
    </font>
    <font>
      <sz val="11"/>
      <color rgb="FF006100"/>
      <name val="Libre Franklin"/>
    </font>
    <font>
      <sz val="11"/>
      <color rgb="FF9C0006"/>
      <name val="Libre Franklin"/>
    </font>
    <font>
      <b/>
      <sz val="12"/>
      <color rgb="FFFF0000"/>
      <name val="Libre Franklin"/>
    </font>
    <font>
      <sz val="12"/>
      <color rgb="FFC00000"/>
      <name val="Libre Franklin"/>
    </font>
    <font>
      <b/>
      <sz val="10"/>
      <color rgb="FF7030A0"/>
      <name val="Libre Franklin"/>
    </font>
    <font>
      <b/>
      <sz val="10"/>
      <color rgb="FFFF0000"/>
      <name val="Libre Franklin"/>
    </font>
    <font>
      <b/>
      <sz val="10"/>
      <color rgb="FF00B050"/>
      <name val="Libre Franklin"/>
    </font>
    <font>
      <b/>
      <sz val="9"/>
      <color rgb="FF3F3F3F"/>
      <name val="Libre Franklin"/>
    </font>
    <font>
      <b/>
      <sz val="10"/>
      <color rgb="FF9C0006"/>
      <name val="Libre Franklin"/>
    </font>
    <font>
      <b/>
      <sz val="10"/>
      <color rgb="FF006100"/>
      <name val="Libre Franklin"/>
    </font>
    <font>
      <b/>
      <sz val="12"/>
      <color rgb="FF3F3F3F"/>
      <name val="Libre Franklin"/>
    </font>
    <font>
      <b/>
      <sz val="11"/>
      <color rgb="FF9C0006"/>
      <name val="Libre Franklin"/>
    </font>
    <font>
      <b/>
      <u/>
      <sz val="10"/>
      <color rgb="FF00B050"/>
      <name val="Libre Franklin"/>
    </font>
    <font>
      <b/>
      <sz val="11"/>
      <color rgb="FF006100"/>
      <name val="Libre Franklin"/>
    </font>
    <font>
      <sz val="12"/>
      <color rgb="FF3F3F3F"/>
      <name val="Libre Franklin"/>
    </font>
    <font>
      <sz val="12"/>
      <color rgb="FF9C0006"/>
      <name val="Libre Franklin"/>
    </font>
    <font>
      <sz val="12"/>
      <color rgb="FFFFFFFF"/>
      <name val="Libre Franklin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333A56"/>
        <bgColor rgb="FF333A5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FF52658F"/>
        <bgColor rgb="FF52658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497D"/>
      </left>
      <right style="thin">
        <color rgb="FFADB0BB"/>
      </right>
      <top style="thin">
        <color rgb="FF1F497D"/>
      </top>
      <bottom style="thin">
        <color rgb="FF1F497D"/>
      </bottom>
      <diagonal/>
    </border>
    <border>
      <left style="thin">
        <color rgb="FFADB0BB"/>
      </left>
      <right style="thin">
        <color rgb="FFADB0BB"/>
      </right>
      <top style="thin">
        <color rgb="FF1F497D"/>
      </top>
      <bottom style="thin">
        <color rgb="FF1F497D"/>
      </bottom>
      <diagonal/>
    </border>
    <border>
      <left style="thin">
        <color rgb="FFADB0BB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1F497D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 style="thin">
        <color rgb="FF1F497D"/>
      </right>
      <top style="thin">
        <color rgb="FFAAAAAA"/>
      </top>
      <bottom/>
      <diagonal/>
    </border>
    <border>
      <left style="thin">
        <color rgb="FF1F497D"/>
      </left>
      <right style="thin">
        <color rgb="FFADB0BB"/>
      </right>
      <top style="thin">
        <color rgb="FF1F497D"/>
      </top>
      <bottom style="thin">
        <color rgb="FF000000"/>
      </bottom>
      <diagonal/>
    </border>
    <border>
      <left style="thin">
        <color rgb="FF1F497D"/>
      </left>
      <right style="thin">
        <color rgb="FFB9C1D2"/>
      </right>
      <top style="thin">
        <color rgb="FF1F497D"/>
      </top>
      <bottom style="thin">
        <color rgb="FFB9C1D2"/>
      </bottom>
      <diagonal/>
    </border>
    <border>
      <left style="thin">
        <color rgb="FFADB0BB"/>
      </left>
      <right style="thin">
        <color rgb="FF1F497D"/>
      </right>
      <top style="thin">
        <color rgb="FF1F497D"/>
      </top>
      <bottom style="thin">
        <color rgb="FF000000"/>
      </bottom>
      <diagonal/>
    </border>
    <border>
      <left style="thin">
        <color rgb="FFB9C1D2"/>
      </left>
      <right style="thin">
        <color rgb="FFB9C1D2"/>
      </right>
      <top style="thin">
        <color rgb="FF1F497D"/>
      </top>
      <bottom style="thin">
        <color rgb="FFB9C1D2"/>
      </bottom>
      <diagonal/>
    </border>
    <border>
      <left style="thin">
        <color rgb="FF1F497D"/>
      </left>
      <right style="thin">
        <color rgb="FF000000"/>
      </right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AAAAAA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9C1D2"/>
      </left>
      <right style="thin">
        <color rgb="FF1F497D"/>
      </right>
      <top style="thin">
        <color rgb="FF1F497D"/>
      </top>
      <bottom style="thin">
        <color rgb="FFB9C1D2"/>
      </bottom>
      <diagonal/>
    </border>
    <border>
      <left style="thin">
        <color rgb="FF1F497D"/>
      </left>
      <right style="thin">
        <color rgb="FFAAAAAA"/>
      </right>
      <top/>
      <bottom/>
      <diagonal/>
    </border>
    <border>
      <left style="thin">
        <color rgb="FF1F497D"/>
      </left>
      <right style="thin">
        <color rgb="FFB9C1D2"/>
      </right>
      <top style="thin">
        <color rgb="FFB9C1D2"/>
      </top>
      <bottom style="thin">
        <color rgb="FFB9C1D2"/>
      </bottom>
      <diagonal/>
    </border>
    <border>
      <left style="thin">
        <color rgb="FFB9C1D2"/>
      </left>
      <right style="thin">
        <color rgb="FFB9C1D2"/>
      </right>
      <top style="thin">
        <color rgb="FFB9C1D2"/>
      </top>
      <bottom style="thin">
        <color rgb="FFB9C1D2"/>
      </bottom>
      <diagonal/>
    </border>
    <border>
      <left style="thin">
        <color rgb="FFB9C1D2"/>
      </left>
      <right style="thin">
        <color rgb="FF1F497D"/>
      </right>
      <top style="thin">
        <color rgb="FFB9C1D2"/>
      </top>
      <bottom style="thin">
        <color rgb="FFB9C1D2"/>
      </bottom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 style="thin">
        <color rgb="FF1F497D"/>
      </left>
      <right style="thin">
        <color rgb="FFB9C1D2"/>
      </right>
      <top style="thin">
        <color rgb="FFB9C1D2"/>
      </top>
      <bottom style="thick">
        <color rgb="FF1F497D"/>
      </bottom>
      <diagonal/>
    </border>
    <border>
      <left style="thin">
        <color rgb="FFB9C1D2"/>
      </left>
      <right style="thin">
        <color rgb="FFB9C1D2"/>
      </right>
      <top style="thin">
        <color rgb="FFB9C1D2"/>
      </top>
      <bottom style="thick">
        <color rgb="FF1F497D"/>
      </bottom>
      <diagonal/>
    </border>
    <border>
      <left style="thin">
        <color rgb="FFB9C1D2"/>
      </left>
      <right style="thin">
        <color rgb="FF1F497D"/>
      </right>
      <top style="thin">
        <color rgb="FFB9C1D2"/>
      </top>
      <bottom style="thick">
        <color rgb="FF1F497D"/>
      </bottom>
      <diagonal/>
    </border>
    <border>
      <left style="thin">
        <color rgb="FFAAAAAA"/>
      </left>
      <right/>
      <top style="thick">
        <color rgb="FF1F497D"/>
      </top>
      <bottom/>
      <diagonal/>
    </border>
    <border>
      <left/>
      <right/>
      <top style="thick">
        <color rgb="FF1F497D"/>
      </top>
      <bottom/>
      <diagonal/>
    </border>
    <border>
      <left/>
      <right/>
      <top style="thick">
        <color rgb="FF1F497D"/>
      </top>
      <bottom/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1F497D"/>
      </bottom>
      <diagonal/>
    </border>
    <border>
      <left/>
      <right/>
      <top/>
      <bottom style="thin">
        <color rgb="FF1F497D"/>
      </bottom>
      <diagonal/>
    </border>
    <border>
      <left/>
      <right/>
      <top/>
      <bottom style="thin">
        <color rgb="FF1F497D"/>
      </bottom>
      <diagonal/>
    </border>
    <border>
      <left style="thin">
        <color rgb="FF1F497D"/>
      </left>
      <right/>
      <top/>
      <bottom/>
      <diagonal/>
    </border>
    <border>
      <left style="thin">
        <color rgb="FFAAAAAA"/>
      </left>
      <right/>
      <top style="thick">
        <color rgb="FF1F497D"/>
      </top>
      <bottom style="thin">
        <color rgb="FFAAAAAA"/>
      </bottom>
      <diagonal/>
    </border>
    <border>
      <left/>
      <right/>
      <top style="thick">
        <color rgb="FF1F497D"/>
      </top>
      <bottom style="thin">
        <color rgb="FFAAAAAA"/>
      </bottom>
      <diagonal/>
    </border>
    <border>
      <left/>
      <right/>
      <top style="thick">
        <color rgb="FF1F497D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0" xfId="0" applyFont="1" applyAlignment="1"/>
    <xf numFmtId="0" fontId="5" fillId="3" borderId="7" xfId="0" applyFont="1" applyFill="1" applyBorder="1" applyAlignment="1">
      <alignment vertical="center"/>
    </xf>
    <xf numFmtId="0" fontId="5" fillId="0" borderId="8" xfId="0" applyFont="1" applyBorder="1" applyAlignment="1"/>
    <xf numFmtId="49" fontId="1" fillId="2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9" fillId="3" borderId="12" xfId="0" applyNumberFormat="1" applyFont="1" applyFill="1" applyBorder="1" applyAlignment="1">
      <alignment horizontal="left" vertical="center"/>
    </xf>
    <xf numFmtId="0" fontId="5" fillId="0" borderId="13" xfId="0" applyFont="1" applyBorder="1" applyAlignment="1"/>
    <xf numFmtId="49" fontId="10" fillId="3" borderId="12" xfId="0" applyNumberFormat="1" applyFont="1" applyFill="1" applyBorder="1" applyAlignment="1">
      <alignment vertical="center"/>
    </xf>
    <xf numFmtId="164" fontId="11" fillId="3" borderId="1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/>
    <xf numFmtId="165" fontId="12" fillId="3" borderId="12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/>
    </xf>
    <xf numFmtId="165" fontId="12" fillId="0" borderId="12" xfId="0" applyNumberFormat="1" applyFont="1" applyBorder="1" applyAlignment="1"/>
    <xf numFmtId="0" fontId="5" fillId="0" borderId="14" xfId="0" applyFont="1" applyBorder="1" applyAlignment="1"/>
    <xf numFmtId="0" fontId="5" fillId="0" borderId="15" xfId="0" applyFont="1" applyBorder="1" applyAlignment="1"/>
    <xf numFmtId="0" fontId="5" fillId="0" borderId="16" xfId="0" applyFont="1" applyBorder="1" applyAlignment="1"/>
    <xf numFmtId="165" fontId="11" fillId="0" borderId="12" xfId="0" applyNumberFormat="1" applyFont="1" applyBorder="1" applyAlignment="1"/>
    <xf numFmtId="164" fontId="13" fillId="3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center" vertical="center"/>
    </xf>
    <xf numFmtId="167" fontId="14" fillId="0" borderId="1" xfId="0" applyNumberFormat="1" applyFont="1" applyBorder="1" applyAlignment="1"/>
    <xf numFmtId="165" fontId="11" fillId="0" borderId="17" xfId="0" applyNumberFormat="1" applyFont="1" applyBorder="1" applyAlignment="1"/>
    <xf numFmtId="164" fontId="16" fillId="3" borderId="1" xfId="0" applyNumberFormat="1" applyFont="1" applyFill="1" applyBorder="1" applyAlignment="1">
      <alignment horizontal="right" vertical="center"/>
    </xf>
    <xf numFmtId="0" fontId="5" fillId="0" borderId="18" xfId="0" applyFont="1" applyBorder="1" applyAlignment="1"/>
    <xf numFmtId="0" fontId="7" fillId="4" borderId="19" xfId="0" applyFont="1" applyFill="1" applyBorder="1" applyAlignment="1">
      <alignment horizontal="center" vertical="center"/>
    </xf>
    <xf numFmtId="9" fontId="15" fillId="3" borderId="1" xfId="0" applyNumberFormat="1" applyFont="1" applyFill="1" applyBorder="1" applyAlignment="1">
      <alignment horizontal="center" vertical="center"/>
    </xf>
    <xf numFmtId="49" fontId="9" fillId="4" borderId="20" xfId="0" applyNumberFormat="1" applyFont="1" applyFill="1" applyBorder="1" applyAlignment="1">
      <alignment horizontal="left" vertical="center"/>
    </xf>
    <xf numFmtId="49" fontId="10" fillId="4" borderId="20" xfId="0" applyNumberFormat="1" applyFont="1" applyFill="1" applyBorder="1" applyAlignment="1">
      <alignment vertical="center"/>
    </xf>
    <xf numFmtId="165" fontId="12" fillId="4" borderId="20" xfId="0" applyNumberFormat="1" applyFont="1" applyFill="1" applyBorder="1" applyAlignment="1"/>
    <xf numFmtId="49" fontId="18" fillId="3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right" vertical="center"/>
    </xf>
    <xf numFmtId="165" fontId="11" fillId="4" borderId="20" xfId="0" applyNumberFormat="1" applyFont="1" applyFill="1" applyBorder="1" applyAlignment="1"/>
    <xf numFmtId="164" fontId="18" fillId="0" borderId="1" xfId="0" applyNumberFormat="1" applyFont="1" applyBorder="1" applyAlignment="1"/>
    <xf numFmtId="164" fontId="19" fillId="3" borderId="1" xfId="0" applyNumberFormat="1" applyFont="1" applyFill="1" applyBorder="1" applyAlignment="1">
      <alignment vertical="center"/>
    </xf>
    <xf numFmtId="165" fontId="11" fillId="4" borderId="21" xfId="0" applyNumberFormat="1" applyFont="1" applyFill="1" applyBorder="1" applyAlignment="1"/>
    <xf numFmtId="164" fontId="19" fillId="0" borderId="1" xfId="0" applyNumberFormat="1" applyFont="1" applyBorder="1" applyAlignment="1"/>
    <xf numFmtId="0" fontId="7" fillId="3" borderId="19" xfId="0" applyFont="1" applyFill="1" applyBorder="1" applyAlignment="1">
      <alignment horizontal="center" vertical="center"/>
    </xf>
    <xf numFmtId="49" fontId="9" fillId="3" borderId="20" xfId="0" applyNumberFormat="1" applyFont="1" applyFill="1" applyBorder="1" applyAlignment="1">
      <alignment horizontal="left" vertical="center"/>
    </xf>
    <xf numFmtId="164" fontId="20" fillId="3" borderId="1" xfId="0" applyNumberFormat="1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49" fontId="10" fillId="3" borderId="20" xfId="0" applyNumberFormat="1" applyFont="1" applyFill="1" applyBorder="1" applyAlignment="1">
      <alignment vertical="center"/>
    </xf>
    <xf numFmtId="168" fontId="5" fillId="3" borderId="1" xfId="0" applyNumberFormat="1" applyFont="1" applyFill="1" applyBorder="1" applyAlignment="1">
      <alignment horizontal="center" vertical="center"/>
    </xf>
    <xf numFmtId="165" fontId="12" fillId="3" borderId="20" xfId="0" applyNumberFormat="1" applyFont="1" applyFill="1" applyBorder="1" applyAlignment="1"/>
    <xf numFmtId="165" fontId="12" fillId="0" borderId="20" xfId="0" applyNumberFormat="1" applyFont="1" applyBorder="1" applyAlignment="1"/>
    <xf numFmtId="165" fontId="11" fillId="0" borderId="20" xfId="0" applyNumberFormat="1" applyFont="1" applyBorder="1" applyAlignment="1"/>
    <xf numFmtId="0" fontId="21" fillId="0" borderId="0" xfId="0" applyFont="1"/>
    <xf numFmtId="164" fontId="14" fillId="4" borderId="1" xfId="0" applyNumberFormat="1" applyFont="1" applyFill="1" applyBorder="1" applyAlignment="1">
      <alignment horizontal="center" vertical="center"/>
    </xf>
    <xf numFmtId="164" fontId="22" fillId="6" borderId="1" xfId="0" applyNumberFormat="1" applyFont="1" applyFill="1" applyBorder="1" applyAlignment="1">
      <alignment horizontal="center" vertical="center"/>
    </xf>
    <xf numFmtId="165" fontId="11" fillId="0" borderId="21" xfId="0" applyNumberFormat="1" applyFont="1" applyBorder="1" applyAlignment="1"/>
    <xf numFmtId="0" fontId="18" fillId="4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18" fillId="4" borderId="1" xfId="0" applyNumberFormat="1" applyFont="1" applyFill="1" applyBorder="1" applyAlignment="1"/>
    <xf numFmtId="164" fontId="14" fillId="0" borderId="1" xfId="0" applyNumberFormat="1" applyFont="1" applyBorder="1" applyAlignment="1"/>
    <xf numFmtId="0" fontId="5" fillId="0" borderId="23" xfId="0" applyFont="1" applyBorder="1" applyAlignment="1"/>
    <xf numFmtId="49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/>
    <xf numFmtId="0" fontId="5" fillId="0" borderId="24" xfId="0" applyFont="1" applyBorder="1" applyAlignment="1"/>
    <xf numFmtId="49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/>
    </xf>
    <xf numFmtId="0" fontId="5" fillId="0" borderId="26" xfId="0" applyFont="1" applyBorder="1" applyAlignment="1"/>
    <xf numFmtId="49" fontId="9" fillId="3" borderId="1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0" fontId="5" fillId="0" borderId="27" xfId="0" applyFont="1" applyBorder="1" applyAlignment="1"/>
    <xf numFmtId="0" fontId="5" fillId="0" borderId="28" xfId="0" applyFont="1" applyBorder="1" applyAlignment="1"/>
    <xf numFmtId="49" fontId="5" fillId="0" borderId="29" xfId="0" applyNumberFormat="1" applyFont="1" applyBorder="1" applyAlignment="1"/>
    <xf numFmtId="0" fontId="5" fillId="0" borderId="29" xfId="0" applyFont="1" applyBorder="1" applyAlignment="1"/>
    <xf numFmtId="0" fontId="5" fillId="0" borderId="30" xfId="0" applyFont="1" applyBorder="1" applyAlignment="1"/>
    <xf numFmtId="49" fontId="18" fillId="4" borderId="1" xfId="0" applyNumberFormat="1" applyFont="1" applyFill="1" applyBorder="1" applyAlignment="1">
      <alignment horizontal="center" vertical="center"/>
    </xf>
    <xf numFmtId="0" fontId="5" fillId="0" borderId="25" xfId="0" applyFont="1" applyBorder="1" applyAlignment="1"/>
    <xf numFmtId="49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center"/>
    </xf>
    <xf numFmtId="16" fontId="14" fillId="4" borderId="1" xfId="0" applyNumberFormat="1" applyFont="1" applyFill="1" applyBorder="1" applyAlignment="1">
      <alignment horizontal="center"/>
    </xf>
    <xf numFmtId="0" fontId="10" fillId="3" borderId="20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0" fontId="5" fillId="0" borderId="31" xfId="0" applyFont="1" applyBorder="1" applyAlignment="1"/>
    <xf numFmtId="0" fontId="14" fillId="4" borderId="1" xfId="0" applyFont="1" applyFill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49" fontId="23" fillId="7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/>
    <xf numFmtId="49" fontId="5" fillId="4" borderId="1" xfId="0" applyNumberFormat="1" applyFont="1" applyFill="1" applyBorder="1" applyAlignment="1"/>
    <xf numFmtId="164" fontId="14" fillId="4" borderId="1" xfId="0" applyNumberFormat="1" applyFont="1" applyFill="1" applyBorder="1" applyAlignment="1"/>
    <xf numFmtId="0" fontId="5" fillId="4" borderId="1" xfId="0" applyFont="1" applyFill="1" applyBorder="1" applyAlignment="1"/>
    <xf numFmtId="0" fontId="10" fillId="3" borderId="20" xfId="0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right" vertical="center"/>
    </xf>
    <xf numFmtId="49" fontId="19" fillId="0" borderId="1" xfId="0" applyNumberFormat="1" applyFont="1" applyBorder="1" applyAlignment="1"/>
    <xf numFmtId="0" fontId="5" fillId="0" borderId="33" xfId="0" applyFont="1" applyBorder="1" applyAlignment="1"/>
    <xf numFmtId="49" fontId="18" fillId="0" borderId="1" xfId="0" applyNumberFormat="1" applyFont="1" applyBorder="1" applyAlignment="1"/>
    <xf numFmtId="0" fontId="5" fillId="4" borderId="1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vertical="center"/>
    </xf>
    <xf numFmtId="0" fontId="5" fillId="0" borderId="34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16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right" vertical="center"/>
    </xf>
    <xf numFmtId="49" fontId="1" fillId="8" borderId="19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165" fontId="12" fillId="8" borderId="20" xfId="0" applyNumberFormat="1" applyFont="1" applyFill="1" applyBorder="1" applyAlignment="1"/>
    <xf numFmtId="49" fontId="24" fillId="8" borderId="20" xfId="0" applyNumberFormat="1" applyFont="1" applyFill="1" applyBorder="1" applyAlignment="1"/>
    <xf numFmtId="49" fontId="24" fillId="8" borderId="20" xfId="0" applyNumberFormat="1" applyFont="1" applyFill="1" applyBorder="1" applyAlignment="1">
      <alignment horizontal="center" vertical="center"/>
    </xf>
    <xf numFmtId="49" fontId="24" fillId="8" borderId="21" xfId="0" applyNumberFormat="1" applyFont="1" applyFill="1" applyBorder="1" applyAlignment="1">
      <alignment horizontal="center" vertical="center"/>
    </xf>
    <xf numFmtId="0" fontId="22" fillId="6" borderId="37" xfId="0" applyFont="1" applyFill="1" applyBorder="1" applyAlignment="1">
      <alignment horizontal="center" vertical="center"/>
    </xf>
    <xf numFmtId="169" fontId="23" fillId="3" borderId="38" xfId="0" applyNumberFormat="1" applyFont="1" applyFill="1" applyBorder="1" applyAlignment="1">
      <alignment horizontal="left" vertical="center"/>
    </xf>
    <xf numFmtId="165" fontId="22" fillId="3" borderId="38" xfId="0" applyNumberFormat="1" applyFont="1" applyFill="1" applyBorder="1" applyAlignment="1">
      <alignment horizontal="left" vertical="center"/>
    </xf>
    <xf numFmtId="165" fontId="12" fillId="4" borderId="38" xfId="0" applyNumberFormat="1" applyFont="1" applyFill="1" applyBorder="1" applyAlignment="1"/>
    <xf numFmtId="165" fontId="25" fillId="7" borderId="38" xfId="0" applyNumberFormat="1" applyFont="1" applyFill="1" applyBorder="1" applyAlignment="1"/>
    <xf numFmtId="165" fontId="25" fillId="7" borderId="39" xfId="0" applyNumberFormat="1" applyFont="1" applyFill="1" applyBorder="1" applyAlignment="1"/>
    <xf numFmtId="0" fontId="5" fillId="0" borderId="40" xfId="0" applyFont="1" applyBorder="1" applyAlignment="1"/>
    <xf numFmtId="0" fontId="5" fillId="0" borderId="41" xfId="0" applyFont="1" applyBorder="1" applyAlignment="1"/>
    <xf numFmtId="169" fontId="5" fillId="3" borderId="42" xfId="0" applyNumberFormat="1" applyFont="1" applyFill="1" applyBorder="1" applyAlignment="1"/>
    <xf numFmtId="0" fontId="5" fillId="0" borderId="43" xfId="0" applyFont="1" applyBorder="1" applyAlignment="1"/>
    <xf numFmtId="0" fontId="5" fillId="3" borderId="44" xfId="0" applyFont="1" applyFill="1" applyBorder="1" applyAlignment="1"/>
    <xf numFmtId="0" fontId="5" fillId="0" borderId="45" xfId="0" applyFont="1" applyBorder="1" applyAlignment="1"/>
    <xf numFmtId="0" fontId="5" fillId="0" borderId="46" xfId="0" applyFont="1" applyBorder="1" applyAlignment="1"/>
    <xf numFmtId="169" fontId="5" fillId="3" borderId="47" xfId="0" applyNumberFormat="1" applyFont="1" applyFill="1" applyBorder="1" applyAlignment="1"/>
    <xf numFmtId="0" fontId="5" fillId="0" borderId="48" xfId="0" applyFont="1" applyBorder="1" applyAlignment="1"/>
    <xf numFmtId="49" fontId="10" fillId="3" borderId="12" xfId="0" applyNumberFormat="1" applyFont="1" applyFill="1" applyBorder="1" applyAlignment="1">
      <alignment horizontal="left" vertical="center"/>
    </xf>
    <xf numFmtId="169" fontId="12" fillId="3" borderId="12" xfId="0" applyNumberFormat="1" applyFont="1" applyFill="1" applyBorder="1" applyAlignment="1"/>
    <xf numFmtId="169" fontId="11" fillId="3" borderId="17" xfId="0" applyNumberFormat="1" applyFont="1" applyFill="1" applyBorder="1" applyAlignment="1"/>
    <xf numFmtId="49" fontId="10" fillId="4" borderId="20" xfId="0" applyNumberFormat="1" applyFont="1" applyFill="1" applyBorder="1" applyAlignment="1">
      <alignment horizontal="left" vertical="center"/>
    </xf>
    <xf numFmtId="169" fontId="12" fillId="4" borderId="20" xfId="0" applyNumberFormat="1" applyFont="1" applyFill="1" applyBorder="1" applyAlignment="1"/>
    <xf numFmtId="169" fontId="11" fillId="4" borderId="21" xfId="0" applyNumberFormat="1" applyFont="1" applyFill="1" applyBorder="1" applyAlignment="1"/>
    <xf numFmtId="49" fontId="10" fillId="3" borderId="20" xfId="0" applyNumberFormat="1" applyFont="1" applyFill="1" applyBorder="1" applyAlignment="1">
      <alignment horizontal="left" vertical="center"/>
    </xf>
    <xf numFmtId="169" fontId="12" fillId="3" borderId="20" xfId="0" applyNumberFormat="1" applyFont="1" applyFill="1" applyBorder="1" applyAlignment="1"/>
    <xf numFmtId="169" fontId="11" fillId="3" borderId="21" xfId="0" applyNumberFormat="1" applyFont="1" applyFill="1" applyBorder="1" applyAlignment="1"/>
    <xf numFmtId="49" fontId="3" fillId="8" borderId="20" xfId="0" applyNumberFormat="1" applyFont="1" applyFill="1" applyBorder="1" applyAlignment="1">
      <alignment horizontal="center" vertical="center"/>
    </xf>
    <xf numFmtId="169" fontId="12" fillId="8" borderId="20" xfId="0" applyNumberFormat="1" applyFont="1" applyFill="1" applyBorder="1" applyAlignment="1"/>
    <xf numFmtId="169" fontId="23" fillId="7" borderId="38" xfId="0" applyNumberFormat="1" applyFont="1" applyFill="1" applyBorder="1" applyAlignment="1">
      <alignment horizontal="left" vertical="center"/>
    </xf>
    <xf numFmtId="165" fontId="22" fillId="6" borderId="38" xfId="0" applyNumberFormat="1" applyFont="1" applyFill="1" applyBorder="1" applyAlignment="1">
      <alignment horizontal="left" vertical="center"/>
    </xf>
    <xf numFmtId="169" fontId="12" fillId="4" borderId="38" xfId="0" applyNumberFormat="1" applyFont="1" applyFill="1" applyBorder="1" applyAlignment="1"/>
    <xf numFmtId="169" fontId="23" fillId="7" borderId="39" xfId="0" applyNumberFormat="1" applyFont="1" applyFill="1" applyBorder="1" applyAlignment="1"/>
    <xf numFmtId="0" fontId="5" fillId="0" borderId="49" xfId="0" applyFont="1" applyBorder="1" applyAlignment="1"/>
    <xf numFmtId="0" fontId="5" fillId="0" borderId="50" xfId="0" applyFont="1" applyBorder="1" applyAlignment="1"/>
    <xf numFmtId="169" fontId="5" fillId="3" borderId="51" xfId="0" applyNumberFormat="1" applyFont="1" applyFill="1" applyBorder="1" applyAlignment="1"/>
    <xf numFmtId="164" fontId="15" fillId="4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left" vertical="center"/>
    </xf>
    <xf numFmtId="0" fontId="27" fillId="8" borderId="1" xfId="0" applyFont="1" applyFill="1" applyBorder="1" applyAlignment="1">
      <alignment horizontal="right" vertical="center"/>
    </xf>
    <xf numFmtId="0" fontId="28" fillId="8" borderId="1" xfId="0" applyFont="1" applyFill="1" applyBorder="1" applyAlignment="1">
      <alignment horizontal="right" vertical="center"/>
    </xf>
    <xf numFmtId="49" fontId="3" fillId="9" borderId="1" xfId="0" applyNumberFormat="1" applyFont="1" applyFill="1" applyBorder="1" applyAlignment="1">
      <alignment horizontal="left" vertical="center" wrapText="1"/>
    </xf>
    <xf numFmtId="49" fontId="29" fillId="4" borderId="1" xfId="0" applyNumberFormat="1" applyFont="1" applyFill="1" applyBorder="1" applyAlignment="1">
      <alignment horizontal="left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31" fillId="6" borderId="1" xfId="0" applyNumberFormat="1" applyFont="1" applyFill="1" applyBorder="1" applyAlignment="1">
      <alignment horizontal="left" vertical="center" wrapText="1"/>
    </xf>
    <xf numFmtId="49" fontId="31" fillId="6" borderId="1" xfId="0" applyNumberFormat="1" applyFont="1" applyFill="1" applyBorder="1" applyAlignment="1">
      <alignment vertical="center"/>
    </xf>
    <xf numFmtId="49" fontId="30" fillId="7" borderId="1" xfId="0" applyNumberFormat="1" applyFont="1" applyFill="1" applyBorder="1" applyAlignment="1">
      <alignment vertical="center"/>
    </xf>
    <xf numFmtId="165" fontId="27" fillId="8" borderId="1" xfId="0" applyNumberFormat="1" applyFont="1" applyFill="1" applyBorder="1" applyAlignment="1">
      <alignment horizontal="right" vertical="center"/>
    </xf>
    <xf numFmtId="165" fontId="28" fillId="8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/>
    </xf>
    <xf numFmtId="164" fontId="33" fillId="7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9" fontId="4" fillId="9" borderId="1" xfId="0" applyNumberFormat="1" applyFont="1" applyFill="1" applyBorder="1" applyAlignment="1">
      <alignment horizontal="center" vertical="center"/>
    </xf>
    <xf numFmtId="164" fontId="34" fillId="8" borderId="1" xfId="0" applyNumberFormat="1" applyFont="1" applyFill="1" applyBorder="1" applyAlignment="1">
      <alignment horizontal="center" vertical="center"/>
    </xf>
    <xf numFmtId="164" fontId="35" fillId="6" borderId="1" xfId="0" applyNumberFormat="1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vertical="center"/>
    </xf>
    <xf numFmtId="0" fontId="5" fillId="3" borderId="53" xfId="0" applyFont="1" applyFill="1" applyBorder="1" applyAlignment="1">
      <alignment vertical="center"/>
    </xf>
    <xf numFmtId="165" fontId="5" fillId="3" borderId="53" xfId="0" applyNumberFormat="1" applyFont="1" applyFill="1" applyBorder="1" applyAlignment="1">
      <alignment vertical="center"/>
    </xf>
    <xf numFmtId="9" fontId="5" fillId="3" borderId="53" xfId="0" applyNumberFormat="1" applyFont="1" applyFill="1" applyBorder="1" applyAlignment="1">
      <alignment vertical="center"/>
    </xf>
    <xf numFmtId="0" fontId="5" fillId="3" borderId="54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1" fillId="3" borderId="55" xfId="0" applyNumberFormat="1" applyFont="1" applyFill="1" applyBorder="1" applyAlignment="1">
      <alignment horizontal="center" vertical="center"/>
    </xf>
    <xf numFmtId="49" fontId="18" fillId="0" borderId="0" xfId="0" applyNumberFormat="1" applyFont="1" applyAlignment="1"/>
    <xf numFmtId="0" fontId="18" fillId="0" borderId="0" xfId="0" applyFont="1" applyAlignment="1">
      <alignment horizontal="center"/>
    </xf>
    <xf numFmtId="164" fontId="6" fillId="3" borderId="55" xfId="0" applyNumberFormat="1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22" fillId="6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49" fontId="36" fillId="4" borderId="1" xfId="0" applyNumberFormat="1" applyFont="1" applyFill="1" applyBorder="1" applyAlignment="1">
      <alignment horizontal="center" wrapText="1"/>
    </xf>
    <xf numFmtId="49" fontId="37" fillId="7" borderId="1" xfId="0" applyNumberFormat="1" applyFont="1" applyFill="1" applyBorder="1" applyAlignment="1">
      <alignment horizontal="right" wrapText="1"/>
    </xf>
    <xf numFmtId="49" fontId="38" fillId="5" borderId="1" xfId="0" applyNumberFormat="1" applyFont="1" applyFill="1" applyBorder="1" applyAlignment="1">
      <alignment horizontal="right" wrapText="1"/>
    </xf>
    <xf numFmtId="165" fontId="22" fillId="6" borderId="1" xfId="0" applyNumberFormat="1" applyFont="1" applyFill="1" applyBorder="1" applyAlignment="1">
      <alignment horizontal="center" vertical="center"/>
    </xf>
    <xf numFmtId="165" fontId="37" fillId="7" borderId="1" xfId="0" applyNumberFormat="1" applyFont="1" applyFill="1" applyBorder="1" applyAlignment="1">
      <alignment horizontal="right" vertical="center"/>
    </xf>
    <xf numFmtId="165" fontId="38" fillId="5" borderId="1" xfId="0" applyNumberFormat="1" applyFont="1" applyFill="1" applyBorder="1" applyAlignment="1">
      <alignment horizontal="right" vertical="center"/>
    </xf>
    <xf numFmtId="0" fontId="5" fillId="3" borderId="52" xfId="0" applyFont="1" applyFill="1" applyBorder="1" applyAlignment="1"/>
    <xf numFmtId="0" fontId="5" fillId="3" borderId="53" xfId="0" applyFont="1" applyFill="1" applyBorder="1" applyAlignment="1"/>
    <xf numFmtId="165" fontId="5" fillId="3" borderId="53" xfId="0" applyNumberFormat="1" applyFont="1" applyFill="1" applyBorder="1" applyAlignment="1"/>
    <xf numFmtId="0" fontId="0" fillId="0" borderId="0" xfId="0"/>
    <xf numFmtId="49" fontId="5" fillId="3" borderId="1" xfId="0" applyNumberFormat="1" applyFont="1" applyFill="1" applyBorder="1" applyAlignment="1">
      <alignment horizontal="left"/>
    </xf>
    <xf numFmtId="167" fontId="14" fillId="3" borderId="1" xfId="0" applyNumberFormat="1" applyFont="1" applyFill="1" applyBorder="1" applyAlignment="1">
      <alignment horizontal="right"/>
    </xf>
    <xf numFmtId="16" fontId="14" fillId="3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left"/>
    </xf>
    <xf numFmtId="167" fontId="14" fillId="4" borderId="1" xfId="0" applyNumberFormat="1" applyFont="1" applyFill="1" applyBorder="1" applyAlignment="1">
      <alignment horizontal="right"/>
    </xf>
    <xf numFmtId="16" fontId="14" fillId="4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167" fontId="23" fillId="7" borderId="1" xfId="0" applyNumberFormat="1" applyFont="1" applyFill="1" applyBorder="1" applyAlignment="1">
      <alignment horizontal="right"/>
    </xf>
    <xf numFmtId="0" fontId="2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707070"/>
      </a:accent5>
      <a:accent6>
        <a:srgbClr val="8A8A8A"/>
      </a:accent6>
      <a:hlink>
        <a:srgbClr val="0000FF"/>
      </a:hlink>
      <a:folHlink>
        <a:srgbClr val="0000FF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625" defaultRowHeight="15" customHeight="1"/>
  <cols>
    <col min="1" max="1" width="11.625" style="224" customWidth="1"/>
    <col min="2" max="2" width="25.375" style="224" customWidth="1"/>
    <col min="3" max="3" width="16.375" style="224" customWidth="1"/>
    <col min="4" max="4" width="11.625" style="224" customWidth="1"/>
    <col min="5" max="5" width="13.375" style="224" customWidth="1"/>
    <col min="6" max="6" width="12.375" style="224" customWidth="1"/>
    <col min="7" max="7" width="14" style="224" customWidth="1"/>
    <col min="8" max="8" width="13.5" style="224" customWidth="1"/>
    <col min="9" max="9" width="13.625" style="224" customWidth="1"/>
    <col min="10" max="10" width="10.375" style="224" customWidth="1"/>
    <col min="11" max="26" width="10" style="224" customWidth="1"/>
  </cols>
  <sheetData>
    <row r="1" spans="1:26" ht="24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6.5" customHeight="1">
      <c r="A2" s="15">
        <v>0</v>
      </c>
      <c r="B2" s="18"/>
      <c r="C2" s="20"/>
      <c r="D2" s="23">
        <v>0</v>
      </c>
      <c r="E2" s="23">
        <v>0</v>
      </c>
      <c r="F2" s="25">
        <v>0</v>
      </c>
      <c r="G2" s="29">
        <f t="array" ref="G2">A2*D2</f>
        <v>0</v>
      </c>
      <c r="H2" s="29">
        <f t="array" ref="H2">A2*E2</f>
        <v>0</v>
      </c>
      <c r="I2" s="34">
        <f t="array" ref="I2">A2*F2</f>
        <v>0</v>
      </c>
      <c r="J2" s="36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6.5" customHeight="1">
      <c r="A3" s="37">
        <v>0</v>
      </c>
      <c r="B3" s="39"/>
      <c r="C3" s="40"/>
      <c r="D3" s="41">
        <v>0</v>
      </c>
      <c r="E3" s="41">
        <v>0</v>
      </c>
      <c r="F3" s="41">
        <v>0</v>
      </c>
      <c r="G3" s="44">
        <f t="array" ref="G3">A3*D3</f>
        <v>0</v>
      </c>
      <c r="H3" s="44">
        <f t="array" ref="H3">A3*E3</f>
        <v>0</v>
      </c>
      <c r="I3" s="47">
        <f t="array" ref="I3">A3*F3</f>
        <v>0</v>
      </c>
      <c r="J3" s="36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6.5" customHeight="1">
      <c r="A4" s="49">
        <v>0</v>
      </c>
      <c r="B4" s="50"/>
      <c r="C4" s="53"/>
      <c r="D4" s="55">
        <v>0</v>
      </c>
      <c r="E4" s="55">
        <v>0</v>
      </c>
      <c r="F4" s="56">
        <v>0</v>
      </c>
      <c r="G4" s="57">
        <f t="array" ref="G4">A4*D4</f>
        <v>0</v>
      </c>
      <c r="H4" s="57">
        <f t="array" ref="H4">A4*E4</f>
        <v>0</v>
      </c>
      <c r="I4" s="61">
        <f t="array" ref="I4">A4*F4</f>
        <v>0</v>
      </c>
      <c r="J4" s="3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6.5" customHeight="1">
      <c r="A5" s="37">
        <v>0</v>
      </c>
      <c r="B5" s="39"/>
      <c r="C5" s="40"/>
      <c r="D5" s="41">
        <v>0</v>
      </c>
      <c r="E5" s="41">
        <v>0</v>
      </c>
      <c r="F5" s="41">
        <v>0</v>
      </c>
      <c r="G5" s="44">
        <f t="array" ref="G5">A5*D5</f>
        <v>0</v>
      </c>
      <c r="H5" s="44">
        <f t="array" ref="H5">A5*E5</f>
        <v>0</v>
      </c>
      <c r="I5" s="47">
        <f t="array" ref="I5">A5*F5</f>
        <v>0</v>
      </c>
      <c r="J5" s="3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 customHeight="1">
      <c r="A6" s="49">
        <v>0</v>
      </c>
      <c r="B6" s="50"/>
      <c r="C6" s="53"/>
      <c r="D6" s="55">
        <v>0</v>
      </c>
      <c r="E6" s="55">
        <v>0</v>
      </c>
      <c r="F6" s="56">
        <v>0</v>
      </c>
      <c r="G6" s="57">
        <f t="array" ref="G6">A6*D6</f>
        <v>0</v>
      </c>
      <c r="H6" s="57">
        <f t="array" ref="H6">A6*E6</f>
        <v>0</v>
      </c>
      <c r="I6" s="61">
        <f t="array" ref="I6">A6*F6</f>
        <v>0</v>
      </c>
      <c r="J6" s="3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37">
        <v>0</v>
      </c>
      <c r="B7" s="39"/>
      <c r="C7" s="40"/>
      <c r="D7" s="41">
        <v>0</v>
      </c>
      <c r="E7" s="41">
        <v>0</v>
      </c>
      <c r="F7" s="41">
        <v>0</v>
      </c>
      <c r="G7" s="44">
        <f t="array" ref="G7">A7*D7</f>
        <v>0</v>
      </c>
      <c r="H7" s="44">
        <f t="array" ref="H7">A7*E7</f>
        <v>0</v>
      </c>
      <c r="I7" s="47">
        <f t="array" ref="I7">A7*F7</f>
        <v>0</v>
      </c>
      <c r="J7" s="3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49">
        <v>0</v>
      </c>
      <c r="B8" s="50"/>
      <c r="C8" s="53"/>
      <c r="D8" s="55">
        <v>0</v>
      </c>
      <c r="E8" s="55">
        <v>0</v>
      </c>
      <c r="F8" s="56">
        <v>0</v>
      </c>
      <c r="G8" s="57">
        <f t="array" ref="G8">A8*D8</f>
        <v>0</v>
      </c>
      <c r="H8" s="57">
        <f t="array" ref="H8">A8*E8</f>
        <v>0</v>
      </c>
      <c r="I8" s="61">
        <f t="array" ref="I8">A8*F8</f>
        <v>0</v>
      </c>
      <c r="J8" s="3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6.5" customHeight="1">
      <c r="A9" s="37">
        <v>0</v>
      </c>
      <c r="B9" s="39"/>
      <c r="C9" s="40"/>
      <c r="D9" s="41">
        <v>0</v>
      </c>
      <c r="E9" s="41">
        <v>0</v>
      </c>
      <c r="F9" s="41">
        <v>0</v>
      </c>
      <c r="G9" s="44">
        <f t="array" ref="G9">A9*D9</f>
        <v>0</v>
      </c>
      <c r="H9" s="44">
        <f t="array" ref="H9">A9*E9</f>
        <v>0</v>
      </c>
      <c r="I9" s="47">
        <f t="array" ref="I9">A9*F9</f>
        <v>0</v>
      </c>
      <c r="J9" s="3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6.5" customHeight="1">
      <c r="A10" s="49">
        <v>0</v>
      </c>
      <c r="B10" s="50"/>
      <c r="C10" s="53"/>
      <c r="D10" s="55">
        <v>0</v>
      </c>
      <c r="E10" s="55">
        <v>0</v>
      </c>
      <c r="F10" s="56">
        <v>0</v>
      </c>
      <c r="G10" s="57">
        <f t="array" ref="G10">A10*D10</f>
        <v>0</v>
      </c>
      <c r="H10" s="57">
        <f t="array" ref="H10">A10*E10</f>
        <v>0</v>
      </c>
      <c r="I10" s="61">
        <f t="array" ref="I10">A10*F10</f>
        <v>0</v>
      </c>
      <c r="J10" s="3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6.5" customHeight="1">
      <c r="A11" s="49"/>
      <c r="B11" s="96"/>
      <c r="C11" s="98"/>
      <c r="D11" s="55"/>
      <c r="E11" s="55"/>
      <c r="F11" s="56"/>
      <c r="G11" s="57"/>
      <c r="H11" s="57"/>
      <c r="I11" s="61"/>
      <c r="J11" s="3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 customHeight="1">
      <c r="A12" s="37">
        <v>0</v>
      </c>
      <c r="B12" s="39"/>
      <c r="C12" s="40"/>
      <c r="D12" s="41">
        <v>0</v>
      </c>
      <c r="E12" s="41">
        <v>0</v>
      </c>
      <c r="F12" s="41">
        <v>0</v>
      </c>
      <c r="G12" s="44">
        <f t="array" ref="G12">A12*D12</f>
        <v>0</v>
      </c>
      <c r="H12" s="44">
        <f t="array" ref="H12">A12*E12</f>
        <v>0</v>
      </c>
      <c r="I12" s="47">
        <f t="array" ref="I12">A12*F12</f>
        <v>0</v>
      </c>
      <c r="J12" s="3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6.5" customHeight="1">
      <c r="A13" s="49">
        <v>0</v>
      </c>
      <c r="B13" s="50"/>
      <c r="C13" s="53"/>
      <c r="D13" s="55">
        <v>0</v>
      </c>
      <c r="E13" s="55">
        <v>0</v>
      </c>
      <c r="F13" s="56">
        <v>0</v>
      </c>
      <c r="G13" s="57">
        <f t="array" ref="G13">A13*D13</f>
        <v>0</v>
      </c>
      <c r="H13" s="57">
        <f t="array" ref="H13">A13*E13</f>
        <v>0</v>
      </c>
      <c r="I13" s="61">
        <f t="array" ref="I13">A13*F13</f>
        <v>0</v>
      </c>
      <c r="J13" s="3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6.5" customHeight="1">
      <c r="A14" s="37">
        <v>0</v>
      </c>
      <c r="B14" s="39"/>
      <c r="C14" s="40"/>
      <c r="D14" s="41">
        <v>0</v>
      </c>
      <c r="E14" s="41">
        <v>0</v>
      </c>
      <c r="F14" s="41">
        <v>0</v>
      </c>
      <c r="G14" s="44">
        <f t="array" ref="G14">A14*D14</f>
        <v>0</v>
      </c>
      <c r="H14" s="44">
        <f t="array" ref="H14">A14*E14</f>
        <v>0</v>
      </c>
      <c r="I14" s="47">
        <f t="array" ref="I14">A14*F14</f>
        <v>0</v>
      </c>
      <c r="J14" s="3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6.5" customHeight="1">
      <c r="A15" s="49">
        <v>0</v>
      </c>
      <c r="B15" s="50"/>
      <c r="C15" s="53"/>
      <c r="D15" s="55">
        <v>0</v>
      </c>
      <c r="E15" s="55">
        <v>0</v>
      </c>
      <c r="F15" s="56">
        <v>0</v>
      </c>
      <c r="G15" s="57">
        <f t="array" ref="G15">A15*D15</f>
        <v>0</v>
      </c>
      <c r="H15" s="57">
        <f t="array" ref="H15">A15*E15</f>
        <v>0</v>
      </c>
      <c r="I15" s="61">
        <f t="array" ref="I15">A15*F15</f>
        <v>0</v>
      </c>
      <c r="J15" s="3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6.5" customHeight="1">
      <c r="A16" s="37">
        <v>0</v>
      </c>
      <c r="B16" s="39"/>
      <c r="C16" s="40"/>
      <c r="D16" s="41">
        <v>0</v>
      </c>
      <c r="E16" s="41">
        <v>0</v>
      </c>
      <c r="F16" s="41">
        <v>0</v>
      </c>
      <c r="G16" s="44">
        <f t="array" ref="G16">A16*D16</f>
        <v>0</v>
      </c>
      <c r="H16" s="44">
        <f t="array" ref="H16">A16*E16</f>
        <v>0</v>
      </c>
      <c r="I16" s="47">
        <f t="array" ref="I16">A16*F16</f>
        <v>0</v>
      </c>
      <c r="J16" s="3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6.5" customHeight="1">
      <c r="A17" s="49">
        <v>0</v>
      </c>
      <c r="B17" s="50"/>
      <c r="C17" s="53"/>
      <c r="D17" s="55">
        <v>0</v>
      </c>
      <c r="E17" s="55">
        <v>0</v>
      </c>
      <c r="F17" s="56">
        <v>0</v>
      </c>
      <c r="G17" s="57">
        <f t="array" ref="G17">A17*D17</f>
        <v>0</v>
      </c>
      <c r="H17" s="57">
        <f t="array" ref="H17">A17*E17</f>
        <v>0</v>
      </c>
      <c r="I17" s="61">
        <f t="array" ref="I17">A17*F17</f>
        <v>0</v>
      </c>
      <c r="J17" s="3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6.5" customHeight="1">
      <c r="A18" s="37">
        <v>0</v>
      </c>
      <c r="B18" s="39"/>
      <c r="C18" s="40"/>
      <c r="D18" s="41">
        <v>0</v>
      </c>
      <c r="E18" s="41">
        <v>0</v>
      </c>
      <c r="F18" s="41">
        <v>0</v>
      </c>
      <c r="G18" s="44">
        <f t="array" ref="G18">A18*D18</f>
        <v>0</v>
      </c>
      <c r="H18" s="44">
        <f t="array" ref="H18">A18*E18</f>
        <v>0</v>
      </c>
      <c r="I18" s="47">
        <f t="array" ref="I18">A18*F18</f>
        <v>0</v>
      </c>
      <c r="J18" s="3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6.5" customHeight="1">
      <c r="A19" s="49">
        <v>0</v>
      </c>
      <c r="B19" s="50"/>
      <c r="C19" s="53"/>
      <c r="D19" s="55">
        <v>0</v>
      </c>
      <c r="E19" s="55">
        <v>0</v>
      </c>
      <c r="F19" s="56">
        <v>0</v>
      </c>
      <c r="G19" s="57">
        <f t="array" ref="G19">A19*D19</f>
        <v>0</v>
      </c>
      <c r="H19" s="57">
        <f t="array" ref="H19">A19*E19</f>
        <v>0</v>
      </c>
      <c r="I19" s="61">
        <f t="array" ref="I19">A19*F19</f>
        <v>0</v>
      </c>
      <c r="J19" s="3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6.5" customHeight="1">
      <c r="A20" s="37">
        <v>0</v>
      </c>
      <c r="B20" s="39"/>
      <c r="C20" s="40"/>
      <c r="D20" s="41">
        <v>0</v>
      </c>
      <c r="E20" s="41">
        <v>0</v>
      </c>
      <c r="F20" s="41">
        <v>0</v>
      </c>
      <c r="G20" s="44">
        <f t="array" ref="G20">A20*D20</f>
        <v>0</v>
      </c>
      <c r="H20" s="44">
        <f t="array" ref="H20">A20*E20</f>
        <v>0</v>
      </c>
      <c r="I20" s="47">
        <f t="array" ref="I20">A20*F20</f>
        <v>0</v>
      </c>
      <c r="J20" s="3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6.5" customHeight="1">
      <c r="A21" s="49">
        <v>0</v>
      </c>
      <c r="B21" s="50"/>
      <c r="C21" s="53"/>
      <c r="D21" s="55">
        <v>0</v>
      </c>
      <c r="E21" s="55">
        <v>0</v>
      </c>
      <c r="F21" s="56">
        <v>0</v>
      </c>
      <c r="G21" s="57">
        <f t="array" ref="G21">A21*D21</f>
        <v>0</v>
      </c>
      <c r="H21" s="57">
        <f t="array" ref="H21">A21*E21</f>
        <v>0</v>
      </c>
      <c r="I21" s="61">
        <f t="array" ref="I21">A21*F21</f>
        <v>0</v>
      </c>
      <c r="J21" s="3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.5" customHeight="1">
      <c r="A22" s="37">
        <v>0</v>
      </c>
      <c r="B22" s="39"/>
      <c r="C22" s="40"/>
      <c r="D22" s="41">
        <v>0</v>
      </c>
      <c r="E22" s="41">
        <v>0</v>
      </c>
      <c r="F22" s="41">
        <v>0</v>
      </c>
      <c r="G22" s="44">
        <f t="array" ref="G22">A22*D22</f>
        <v>0</v>
      </c>
      <c r="H22" s="44">
        <f t="array" ref="H22">A22*E22</f>
        <v>0</v>
      </c>
      <c r="I22" s="47">
        <f t="array" ref="I22">A22*F22</f>
        <v>0</v>
      </c>
      <c r="J22" s="3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6.5" customHeight="1">
      <c r="A23" s="49">
        <v>0</v>
      </c>
      <c r="B23" s="50"/>
      <c r="C23" s="53"/>
      <c r="D23" s="55">
        <v>0</v>
      </c>
      <c r="E23" s="55">
        <v>0</v>
      </c>
      <c r="F23" s="56">
        <v>0</v>
      </c>
      <c r="G23" s="57">
        <f t="array" ref="G23">A23*D23</f>
        <v>0</v>
      </c>
      <c r="H23" s="57">
        <f t="array" ref="H23">A23*E23</f>
        <v>0</v>
      </c>
      <c r="I23" s="61">
        <f t="array" ref="I23">A23*F23</f>
        <v>0</v>
      </c>
      <c r="J23" s="3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6.5" customHeight="1">
      <c r="A24" s="37">
        <v>0</v>
      </c>
      <c r="B24" s="39"/>
      <c r="C24" s="40"/>
      <c r="D24" s="41">
        <v>0</v>
      </c>
      <c r="E24" s="41">
        <v>0</v>
      </c>
      <c r="F24" s="41">
        <v>0</v>
      </c>
      <c r="G24" s="44">
        <f t="array" ref="G24">A24*D24</f>
        <v>0</v>
      </c>
      <c r="H24" s="44">
        <f t="array" ref="H24">A24*E24</f>
        <v>0</v>
      </c>
      <c r="I24" s="47">
        <f t="array" ref="I24">A24*F24</f>
        <v>0</v>
      </c>
      <c r="J24" s="3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6.5" customHeight="1">
      <c r="A25" s="49"/>
      <c r="B25" s="96"/>
      <c r="C25" s="117"/>
      <c r="D25" s="55"/>
      <c r="E25" s="55"/>
      <c r="F25" s="56"/>
      <c r="G25" s="57"/>
      <c r="H25" s="57"/>
      <c r="I25" s="61"/>
      <c r="J25" s="3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6.5" customHeight="1">
      <c r="A26" s="37">
        <v>0</v>
      </c>
      <c r="B26" s="39"/>
      <c r="C26" s="40"/>
      <c r="D26" s="41">
        <v>0</v>
      </c>
      <c r="E26" s="41">
        <v>0</v>
      </c>
      <c r="F26" s="41">
        <v>0</v>
      </c>
      <c r="G26" s="44">
        <f t="array" ref="G26">A26*D26</f>
        <v>0</v>
      </c>
      <c r="H26" s="44">
        <f t="array" ref="H26">A26*E26</f>
        <v>0</v>
      </c>
      <c r="I26" s="47">
        <f t="array" ref="I26">A26*F26</f>
        <v>0</v>
      </c>
      <c r="J26" s="3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6.5" customHeight="1">
      <c r="A27" s="49">
        <v>0</v>
      </c>
      <c r="B27" s="50"/>
      <c r="C27" s="53"/>
      <c r="D27" s="55">
        <v>0</v>
      </c>
      <c r="E27" s="55">
        <v>0</v>
      </c>
      <c r="F27" s="56">
        <v>0</v>
      </c>
      <c r="G27" s="57">
        <f t="array" ref="G27">A27*D27</f>
        <v>0</v>
      </c>
      <c r="H27" s="57">
        <f t="array" ref="H27">A27*E27</f>
        <v>0</v>
      </c>
      <c r="I27" s="61">
        <f t="array" ref="I27">A27*F27</f>
        <v>0</v>
      </c>
      <c r="J27" s="3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6.5" customHeight="1">
      <c r="A28" s="37"/>
      <c r="B28" s="125"/>
      <c r="C28" s="126"/>
      <c r="D28" s="41"/>
      <c r="E28" s="41"/>
      <c r="F28" s="41"/>
      <c r="G28" s="44"/>
      <c r="H28" s="44"/>
      <c r="I28" s="47"/>
      <c r="J28" s="3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6.5" customHeight="1">
      <c r="A29" s="49">
        <v>0</v>
      </c>
      <c r="B29" s="50"/>
      <c r="C29" s="53"/>
      <c r="D29" s="55">
        <v>0</v>
      </c>
      <c r="E29" s="55">
        <v>0</v>
      </c>
      <c r="F29" s="56">
        <v>0</v>
      </c>
      <c r="G29" s="57">
        <f t="array" ref="G29">A29*D29</f>
        <v>0</v>
      </c>
      <c r="H29" s="57">
        <f t="array" ref="H29">A29*E29</f>
        <v>0</v>
      </c>
      <c r="I29" s="61">
        <f t="array" ref="I29">A29*F29</f>
        <v>0</v>
      </c>
      <c r="J29" s="3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6.5" customHeight="1">
      <c r="A30" s="37">
        <v>0</v>
      </c>
      <c r="B30" s="39"/>
      <c r="C30" s="40"/>
      <c r="D30" s="41">
        <v>0</v>
      </c>
      <c r="E30" s="41">
        <v>0</v>
      </c>
      <c r="F30" s="41">
        <v>0</v>
      </c>
      <c r="G30" s="44">
        <f t="array" ref="G30">A30*D30</f>
        <v>0</v>
      </c>
      <c r="H30" s="44">
        <f t="array" ref="H30">A30*E30</f>
        <v>0</v>
      </c>
      <c r="I30" s="47">
        <f t="array" ref="I30">A30*F30</f>
        <v>0</v>
      </c>
      <c r="J30" s="3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6.5" customHeight="1">
      <c r="A31" s="49"/>
      <c r="B31" s="96"/>
      <c r="C31" s="117"/>
      <c r="D31" s="55"/>
      <c r="E31" s="55"/>
      <c r="F31" s="56"/>
      <c r="G31" s="57"/>
      <c r="H31" s="57"/>
      <c r="I31" s="61"/>
      <c r="J31" s="3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6.5" customHeight="1">
      <c r="A32" s="37">
        <v>0</v>
      </c>
      <c r="B32" s="39"/>
      <c r="C32" s="40"/>
      <c r="D32" s="41">
        <v>0</v>
      </c>
      <c r="E32" s="41">
        <v>0</v>
      </c>
      <c r="F32" s="41">
        <v>0</v>
      </c>
      <c r="G32" s="44">
        <f t="array" ref="G32">A32*D32</f>
        <v>0</v>
      </c>
      <c r="H32" s="44">
        <f t="array" ref="H32">A32*E32</f>
        <v>0</v>
      </c>
      <c r="I32" s="47">
        <f t="array" ref="I32">A32*F32</f>
        <v>0</v>
      </c>
      <c r="J32" s="3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6.5" customHeight="1">
      <c r="A33" s="49">
        <v>0</v>
      </c>
      <c r="B33" s="50"/>
      <c r="C33" s="53"/>
      <c r="D33" s="55">
        <v>0</v>
      </c>
      <c r="E33" s="55">
        <v>0</v>
      </c>
      <c r="F33" s="56">
        <v>0</v>
      </c>
      <c r="G33" s="57">
        <f t="array" ref="G33">A33*D33</f>
        <v>0</v>
      </c>
      <c r="H33" s="57">
        <f t="array" ref="H33">A33*E33</f>
        <v>0</v>
      </c>
      <c r="I33" s="61">
        <f t="array" ref="I33">A33*F33</f>
        <v>0</v>
      </c>
      <c r="J33" s="3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6.5" customHeight="1">
      <c r="A34" s="37"/>
      <c r="B34" s="125"/>
      <c r="C34" s="126"/>
      <c r="D34" s="41"/>
      <c r="E34" s="41"/>
      <c r="F34" s="41"/>
      <c r="G34" s="44"/>
      <c r="H34" s="44"/>
      <c r="I34" s="47"/>
      <c r="J34" s="3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6.5" customHeight="1">
      <c r="A35" s="49">
        <v>0</v>
      </c>
      <c r="B35" s="50"/>
      <c r="C35" s="53"/>
      <c r="D35" s="55">
        <v>0</v>
      </c>
      <c r="E35" s="55">
        <v>0</v>
      </c>
      <c r="F35" s="56">
        <v>0</v>
      </c>
      <c r="G35" s="57">
        <f t="array" ref="G35">A35*D35</f>
        <v>0</v>
      </c>
      <c r="H35" s="57">
        <f t="array" ref="H35">A35*E35</f>
        <v>0</v>
      </c>
      <c r="I35" s="61">
        <f t="array" ref="I35">A35*F35</f>
        <v>0</v>
      </c>
      <c r="J35" s="3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6.5" customHeight="1">
      <c r="A36" s="37">
        <v>0</v>
      </c>
      <c r="B36" s="39"/>
      <c r="C36" s="40"/>
      <c r="D36" s="41">
        <v>0</v>
      </c>
      <c r="E36" s="41">
        <v>0</v>
      </c>
      <c r="F36" s="41">
        <v>0</v>
      </c>
      <c r="G36" s="44">
        <f t="array" ref="G36">A36*D36</f>
        <v>0</v>
      </c>
      <c r="H36" s="44">
        <f t="array" ref="H36">A36*E36</f>
        <v>0</v>
      </c>
      <c r="I36" s="47">
        <f t="array" ref="I36">A36*F36</f>
        <v>0</v>
      </c>
      <c r="J36" s="3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6.5" customHeight="1">
      <c r="A37" s="49"/>
      <c r="B37" s="96"/>
      <c r="C37" s="117"/>
      <c r="D37" s="55"/>
      <c r="E37" s="55"/>
      <c r="F37" s="56"/>
      <c r="G37" s="57"/>
      <c r="H37" s="57"/>
      <c r="I37" s="61"/>
      <c r="J37" s="3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6.5" customHeight="1">
      <c r="A38" s="37">
        <v>0</v>
      </c>
      <c r="B38" s="39"/>
      <c r="C38" s="40"/>
      <c r="D38" s="41">
        <v>0</v>
      </c>
      <c r="E38" s="41">
        <v>0</v>
      </c>
      <c r="F38" s="41">
        <v>0</v>
      </c>
      <c r="G38" s="44">
        <f t="array" ref="G38">A38*D38</f>
        <v>0</v>
      </c>
      <c r="H38" s="44">
        <f t="array" ref="H38">A38*E38</f>
        <v>0</v>
      </c>
      <c r="I38" s="47">
        <f t="array" ref="I38">A38*F38</f>
        <v>0</v>
      </c>
      <c r="J38" s="3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6.5" customHeight="1">
      <c r="A39" s="132" t="s">
        <v>9</v>
      </c>
      <c r="B39" s="133"/>
      <c r="C39" s="133"/>
      <c r="D39" s="134"/>
      <c r="E39" s="134"/>
      <c r="F39" s="134"/>
      <c r="G39" s="135" t="s">
        <v>10</v>
      </c>
      <c r="H39" s="136" t="s">
        <v>10</v>
      </c>
      <c r="I39" s="137" t="s">
        <v>10</v>
      </c>
      <c r="J39" s="3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6.5" customHeight="1">
      <c r="A40" s="138">
        <f t="array" ref="A40">SUM(A2:A38)</f>
        <v>0</v>
      </c>
      <c r="B40" s="139"/>
      <c r="C40" s="140"/>
      <c r="D40" s="141"/>
      <c r="E40" s="141"/>
      <c r="F40" s="141"/>
      <c r="G40" s="142">
        <f t="array" ref="G40">SUM(G2:G38)</f>
        <v>0</v>
      </c>
      <c r="H40" s="142">
        <f t="array" ref="H40">SUM(H2:H38)</f>
        <v>0</v>
      </c>
      <c r="I40" s="143">
        <f t="array" ref="I40">SUM(I2:I38)</f>
        <v>0</v>
      </c>
      <c r="J40" s="3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6.5" customHeight="1">
      <c r="A41" s="144"/>
      <c r="B41" s="145"/>
      <c r="C41" s="145"/>
      <c r="D41" s="146"/>
      <c r="E41" s="146"/>
      <c r="F41" s="145"/>
      <c r="G41" s="145"/>
      <c r="H41" s="145"/>
      <c r="I41" s="14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6.5" customHeight="1">
      <c r="A42" s="147"/>
      <c r="B42" s="11"/>
      <c r="C42" s="11"/>
      <c r="D42" s="148"/>
      <c r="E42" s="148"/>
      <c r="F42" s="11"/>
      <c r="G42" s="11"/>
      <c r="H42" s="11"/>
      <c r="I42" s="11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6.5" customHeight="1">
      <c r="A43" s="147"/>
      <c r="B43" s="11"/>
      <c r="C43" s="11"/>
      <c r="D43" s="148"/>
      <c r="E43" s="148"/>
      <c r="F43" s="11"/>
      <c r="G43" s="11"/>
      <c r="H43" s="11"/>
      <c r="I43" s="11"/>
      <c r="J43" s="2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6.5" customHeight="1">
      <c r="A44" s="147"/>
      <c r="B44" s="11"/>
      <c r="C44" s="11"/>
      <c r="D44" s="148"/>
      <c r="E44" s="148"/>
      <c r="F44" s="11"/>
      <c r="G44" s="11"/>
      <c r="H44" s="11"/>
      <c r="I44" s="11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6.5" customHeight="1">
      <c r="A45" s="147"/>
      <c r="B45" s="11"/>
      <c r="C45" s="11"/>
      <c r="D45" s="148"/>
      <c r="E45" s="148"/>
      <c r="F45" s="11"/>
      <c r="G45" s="11"/>
      <c r="H45" s="11"/>
      <c r="I45" s="11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6.5" customHeight="1">
      <c r="A46" s="147"/>
      <c r="B46" s="11"/>
      <c r="C46" s="11"/>
      <c r="D46" s="148"/>
      <c r="E46" s="148"/>
      <c r="F46" s="11"/>
      <c r="G46" s="11"/>
      <c r="H46" s="11"/>
      <c r="I46" s="11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6.5" customHeight="1">
      <c r="A47" s="147"/>
      <c r="B47" s="11"/>
      <c r="C47" s="11"/>
      <c r="D47" s="148"/>
      <c r="E47" s="148"/>
      <c r="F47" s="11"/>
      <c r="G47" s="11"/>
      <c r="H47" s="11"/>
      <c r="I47" s="11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6.5" customHeight="1">
      <c r="A48" s="149"/>
      <c r="B48" s="150"/>
      <c r="C48" s="150"/>
      <c r="D48" s="151"/>
      <c r="E48" s="151"/>
      <c r="F48" s="11"/>
      <c r="G48" s="11"/>
      <c r="H48" s="11"/>
      <c r="I48" s="11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6.5" customHeight="1">
      <c r="A49" s="2" t="s">
        <v>0</v>
      </c>
      <c r="B49" s="4" t="s">
        <v>1</v>
      </c>
      <c r="C49" s="4" t="s">
        <v>2</v>
      </c>
      <c r="D49" s="4" t="s">
        <v>11</v>
      </c>
      <c r="E49" s="8" t="s">
        <v>9</v>
      </c>
      <c r="F49" s="152"/>
      <c r="G49" s="11"/>
      <c r="H49" s="11"/>
      <c r="I49" s="11"/>
      <c r="J49" s="2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6.5" customHeight="1">
      <c r="A50" s="15">
        <v>0</v>
      </c>
      <c r="B50" s="18"/>
      <c r="C50" s="153"/>
      <c r="D50" s="154">
        <v>26</v>
      </c>
      <c r="E50" s="155">
        <f t="array" ref="E50">A50*D50</f>
        <v>0</v>
      </c>
      <c r="F50" s="152"/>
      <c r="G50" s="11"/>
      <c r="H50" s="11"/>
      <c r="I50" s="11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6.5" customHeight="1">
      <c r="A51" s="37">
        <v>0</v>
      </c>
      <c r="B51" s="39"/>
      <c r="C51" s="156"/>
      <c r="D51" s="157">
        <v>28</v>
      </c>
      <c r="E51" s="158">
        <f t="array" ref="E51">A51*D51</f>
        <v>0</v>
      </c>
      <c r="F51" s="152"/>
      <c r="G51" s="11"/>
      <c r="H51" s="11"/>
      <c r="I51" s="11"/>
      <c r="J51" s="2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6.5" customHeight="1">
      <c r="A52" s="49">
        <v>0</v>
      </c>
      <c r="B52" s="50"/>
      <c r="C52" s="159"/>
      <c r="D52" s="160">
        <v>10</v>
      </c>
      <c r="E52" s="161">
        <f t="array" ref="E52">A52*D52</f>
        <v>0</v>
      </c>
      <c r="F52" s="152"/>
      <c r="G52" s="11"/>
      <c r="H52" s="11"/>
      <c r="I52" s="11"/>
      <c r="J52" s="2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6.5" customHeight="1">
      <c r="A53" s="37">
        <v>0</v>
      </c>
      <c r="B53" s="39"/>
      <c r="C53" s="156"/>
      <c r="D53" s="157">
        <v>15</v>
      </c>
      <c r="E53" s="158">
        <f t="array" ref="E53">A53*D53</f>
        <v>0</v>
      </c>
      <c r="F53" s="152"/>
      <c r="G53" s="11"/>
      <c r="H53" s="11"/>
      <c r="I53" s="11"/>
      <c r="J53" s="2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6.5" customHeight="1">
      <c r="A54" s="49">
        <v>0</v>
      </c>
      <c r="B54" s="50"/>
      <c r="C54" s="159"/>
      <c r="D54" s="160">
        <v>10</v>
      </c>
      <c r="E54" s="161">
        <f t="array" ref="E54">A54*D54</f>
        <v>0</v>
      </c>
      <c r="F54" s="152"/>
      <c r="G54" s="11"/>
      <c r="H54" s="11"/>
      <c r="I54" s="11"/>
      <c r="J54" s="2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6.5" customHeight="1">
      <c r="A55" s="37">
        <v>0</v>
      </c>
      <c r="B55" s="39"/>
      <c r="C55" s="156"/>
      <c r="D55" s="157">
        <v>8</v>
      </c>
      <c r="E55" s="158">
        <f t="array" ref="E55">A55*D55</f>
        <v>0</v>
      </c>
      <c r="F55" s="152"/>
      <c r="G55" s="11"/>
      <c r="H55" s="11"/>
      <c r="I55" s="11"/>
      <c r="J55" s="2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6.5" customHeight="1">
      <c r="A56" s="49">
        <v>0</v>
      </c>
      <c r="B56" s="50"/>
      <c r="C56" s="159"/>
      <c r="D56" s="160">
        <v>9</v>
      </c>
      <c r="E56" s="161">
        <f t="array" ref="E56">A56*D56</f>
        <v>0</v>
      </c>
      <c r="F56" s="152"/>
      <c r="G56" s="11"/>
      <c r="H56" s="11"/>
      <c r="I56" s="11"/>
      <c r="J56" s="2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6.5" customHeight="1">
      <c r="A57" s="37">
        <v>0</v>
      </c>
      <c r="B57" s="39"/>
      <c r="C57" s="156"/>
      <c r="D57" s="157">
        <v>12</v>
      </c>
      <c r="E57" s="158">
        <f t="array" ref="E57">A57*D57</f>
        <v>0</v>
      </c>
      <c r="F57" s="152"/>
      <c r="G57" s="11"/>
      <c r="H57" s="11"/>
      <c r="I57" s="11"/>
      <c r="J57" s="2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6.5" customHeight="1">
      <c r="A58" s="49">
        <v>0</v>
      </c>
      <c r="B58" s="50"/>
      <c r="C58" s="159"/>
      <c r="D58" s="160">
        <v>26</v>
      </c>
      <c r="E58" s="161">
        <f t="array" ref="E58">A58*D58</f>
        <v>0</v>
      </c>
      <c r="F58" s="152"/>
      <c r="G58" s="11"/>
      <c r="H58" s="11"/>
      <c r="I58" s="11"/>
      <c r="J58" s="2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6.5" customHeight="1">
      <c r="A59" s="37">
        <v>0</v>
      </c>
      <c r="B59" s="39"/>
      <c r="C59" s="156"/>
      <c r="D59" s="157">
        <v>33</v>
      </c>
      <c r="E59" s="158">
        <f t="array" ref="E59">A59*D59</f>
        <v>0</v>
      </c>
      <c r="F59" s="152"/>
      <c r="G59" s="11"/>
      <c r="H59" s="11"/>
      <c r="I59" s="11"/>
      <c r="J59" s="2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6.5" customHeight="1">
      <c r="A60" s="132" t="s">
        <v>9</v>
      </c>
      <c r="B60" s="162" t="s">
        <v>12</v>
      </c>
      <c r="C60" s="162" t="s">
        <v>13</v>
      </c>
      <c r="D60" s="163"/>
      <c r="E60" s="137" t="s">
        <v>9</v>
      </c>
      <c r="F60" s="152"/>
      <c r="G60" s="11"/>
      <c r="H60" s="11"/>
      <c r="I60" s="11"/>
      <c r="J60" s="2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6.5" customHeight="1">
      <c r="A61" s="138">
        <f t="array" ref="A61">SUM(A50:A59)</f>
        <v>0</v>
      </c>
      <c r="B61" s="164">
        <f t="array" ref="B61">E61*20%+E61</f>
        <v>0</v>
      </c>
      <c r="C61" s="165">
        <f t="array" ref="C61">B61*5</f>
        <v>0</v>
      </c>
      <c r="D61" s="166"/>
      <c r="E61" s="167">
        <f t="array" ref="E61">SUM(E50:E59)</f>
        <v>0</v>
      </c>
      <c r="F61" s="152"/>
      <c r="G61" s="11"/>
      <c r="H61" s="11"/>
      <c r="I61" s="11"/>
      <c r="J61" s="2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6.5" customHeight="1">
      <c r="A62" s="168"/>
      <c r="B62" s="169"/>
      <c r="C62" s="169"/>
      <c r="D62" s="170"/>
      <c r="E62" s="170"/>
      <c r="F62" s="122"/>
      <c r="G62" s="122"/>
      <c r="H62" s="122"/>
      <c r="I62" s="122"/>
      <c r="J62" s="12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1"/>
  <sheetViews>
    <sheetView showGridLines="0" workbookViewId="0"/>
  </sheetViews>
  <sheetFormatPr defaultColWidth="12.625" defaultRowHeight="15" customHeight="1"/>
  <cols>
    <col min="1" max="1" width="24.5" style="224" customWidth="1"/>
    <col min="2" max="2" width="15.375" style="224" customWidth="1"/>
    <col min="3" max="3" width="12.5" style="224" customWidth="1"/>
    <col min="4" max="4" width="15.875" style="224" customWidth="1"/>
    <col min="5" max="5" width="10.375" style="224" customWidth="1"/>
    <col min="6" max="6" width="10.5" style="224" customWidth="1"/>
    <col min="7" max="7" width="21.375" style="224" customWidth="1"/>
    <col min="8" max="8" width="20.125" style="224" customWidth="1"/>
    <col min="9" max="9" width="13.875" style="224" customWidth="1"/>
    <col min="10" max="10" width="12.375" style="224" customWidth="1"/>
    <col min="11" max="11" width="21.375" style="224" customWidth="1"/>
    <col min="12" max="12" width="17.875" style="224" customWidth="1"/>
    <col min="13" max="13" width="17.625" style="224" customWidth="1"/>
    <col min="14" max="14" width="8.875" style="224" customWidth="1"/>
    <col min="15" max="26" width="10" style="224" customWidth="1"/>
  </cols>
  <sheetData>
    <row r="1" spans="1:26" ht="49.5" customHeight="1">
      <c r="A1" s="1" t="s">
        <v>14</v>
      </c>
      <c r="B1" s="1" t="s">
        <v>15</v>
      </c>
      <c r="C1" s="3" t="s">
        <v>16</v>
      </c>
      <c r="D1" s="5" t="s">
        <v>17</v>
      </c>
      <c r="E1" s="1" t="s">
        <v>18</v>
      </c>
      <c r="F1" s="3" t="s">
        <v>19</v>
      </c>
      <c r="G1" s="3" t="s">
        <v>20</v>
      </c>
      <c r="H1" s="1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3" t="s">
        <v>26</v>
      </c>
      <c r="N1" s="12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84" t="s">
        <v>27</v>
      </c>
      <c r="B2" s="85" t="s">
        <v>28</v>
      </c>
      <c r="C2" s="30">
        <v>620</v>
      </c>
      <c r="D2" s="43">
        <v>900</v>
      </c>
      <c r="E2" s="130">
        <v>14</v>
      </c>
      <c r="F2" s="131">
        <v>12</v>
      </c>
      <c r="G2" s="30">
        <f t="array" ref="G2">E2*C2</f>
        <v>8680</v>
      </c>
      <c r="H2" s="35">
        <f t="array" ref="H2">E2*D2</f>
        <v>12600</v>
      </c>
      <c r="I2" s="38">
        <f t="array" ref="I2">J2/D2</f>
        <v>0.31111111111111112</v>
      </c>
      <c r="J2" s="43">
        <f t="array" ref="J2">D2-C2</f>
        <v>280</v>
      </c>
      <c r="K2" s="43">
        <f t="array" ref="K2">H2-G2</f>
        <v>3920</v>
      </c>
      <c r="L2" s="46">
        <f t="array" ref="L2">F2*J2</f>
        <v>3360</v>
      </c>
      <c r="M2" s="51">
        <f t="array" ref="M2">C2*F2</f>
        <v>7440</v>
      </c>
      <c r="N2" s="52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4" customHeight="1">
      <c r="A3" s="118" t="s">
        <v>27</v>
      </c>
      <c r="B3" s="119" t="s">
        <v>29</v>
      </c>
      <c r="C3" s="120">
        <v>620</v>
      </c>
      <c r="D3" s="171">
        <v>900</v>
      </c>
      <c r="E3" s="172">
        <v>17</v>
      </c>
      <c r="F3" s="173">
        <v>8</v>
      </c>
      <c r="G3" s="30">
        <f t="array" ref="G3">E3*C3</f>
        <v>10540</v>
      </c>
      <c r="H3" s="35">
        <f t="array" ref="H3">E3*D3</f>
        <v>15300</v>
      </c>
      <c r="I3" s="38">
        <f t="array" ref="I3">J3/D3</f>
        <v>0.31111111111111112</v>
      </c>
      <c r="J3" s="43">
        <f t="array" ref="J3">D3-C3</f>
        <v>280</v>
      </c>
      <c r="K3" s="43">
        <f t="array" ref="K3">H3-G3</f>
        <v>4760</v>
      </c>
      <c r="L3" s="46">
        <f t="array" ref="L3">F3*J3</f>
        <v>2240</v>
      </c>
      <c r="M3" s="51">
        <f t="array" ref="M3">C3*F3</f>
        <v>4960</v>
      </c>
      <c r="N3" s="52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4" customHeight="1">
      <c r="A4" s="84" t="s">
        <v>27</v>
      </c>
      <c r="B4" s="85" t="s">
        <v>30</v>
      </c>
      <c r="C4" s="30">
        <v>620</v>
      </c>
      <c r="D4" s="43">
        <v>900</v>
      </c>
      <c r="E4" s="130">
        <v>8</v>
      </c>
      <c r="F4" s="131">
        <v>4</v>
      </c>
      <c r="G4" s="30">
        <f t="array" ref="G4">E4*C4</f>
        <v>4960</v>
      </c>
      <c r="H4" s="35">
        <f t="array" ref="H4">E4*D4</f>
        <v>7200</v>
      </c>
      <c r="I4" s="38">
        <f t="array" ref="I4">J4/D4</f>
        <v>0.31111111111111112</v>
      </c>
      <c r="J4" s="43">
        <f t="array" ref="J4">D4-C4</f>
        <v>280</v>
      </c>
      <c r="K4" s="43">
        <f t="array" ref="K4">H4-G4</f>
        <v>2240</v>
      </c>
      <c r="L4" s="46">
        <f t="array" ref="L4">F4*J4</f>
        <v>1120</v>
      </c>
      <c r="M4" s="51">
        <f t="array" ref="M4">C4*F4</f>
        <v>2480</v>
      </c>
      <c r="N4" s="52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4" customHeight="1">
      <c r="A5" s="84" t="s">
        <v>31</v>
      </c>
      <c r="B5" s="85" t="s">
        <v>32</v>
      </c>
      <c r="C5" s="30">
        <v>550</v>
      </c>
      <c r="D5" s="43">
        <v>1100</v>
      </c>
      <c r="E5" s="130">
        <v>0</v>
      </c>
      <c r="F5" s="131">
        <v>1</v>
      </c>
      <c r="G5" s="30">
        <f t="array" ref="G5">E5*C5</f>
        <v>0</v>
      </c>
      <c r="H5" s="35">
        <f t="array" ref="H5">E5*D5</f>
        <v>0</v>
      </c>
      <c r="I5" s="38">
        <f t="array" ref="I5">J5/D5</f>
        <v>0.5</v>
      </c>
      <c r="J5" s="43">
        <f t="array" ref="J5">D5-C5</f>
        <v>550</v>
      </c>
      <c r="K5" s="43">
        <f t="array" ref="K5">H5-G5</f>
        <v>0</v>
      </c>
      <c r="L5" s="46">
        <f t="array" ref="L5">F5*J5</f>
        <v>550</v>
      </c>
      <c r="M5" s="51">
        <f t="array" ref="M5">C5*F5</f>
        <v>550</v>
      </c>
      <c r="N5" s="52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4" customHeight="1">
      <c r="A6" s="84" t="s">
        <v>31</v>
      </c>
      <c r="B6" s="85" t="s">
        <v>33</v>
      </c>
      <c r="C6" s="30">
        <v>550</v>
      </c>
      <c r="D6" s="43">
        <v>1000</v>
      </c>
      <c r="E6" s="130">
        <v>0</v>
      </c>
      <c r="F6" s="131">
        <v>1</v>
      </c>
      <c r="G6" s="30">
        <f t="array" ref="G6">E6*C6</f>
        <v>0</v>
      </c>
      <c r="H6" s="35">
        <f t="array" ref="H6">E6*D6</f>
        <v>0</v>
      </c>
      <c r="I6" s="38">
        <f t="array" ref="I6">J6/D6</f>
        <v>0.45</v>
      </c>
      <c r="J6" s="43">
        <f t="array" ref="J6">D6-C6</f>
        <v>450</v>
      </c>
      <c r="K6" s="43">
        <f t="array" ref="K6">H6-G6</f>
        <v>0</v>
      </c>
      <c r="L6" s="46">
        <f t="array" ref="L6">F6*J6</f>
        <v>450</v>
      </c>
      <c r="M6" s="51">
        <f t="array" ref="M6">C6*F6</f>
        <v>550</v>
      </c>
      <c r="N6" s="52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4" customHeight="1">
      <c r="A7" s="84" t="s">
        <v>34</v>
      </c>
      <c r="B7" s="85" t="s">
        <v>28</v>
      </c>
      <c r="C7" s="30">
        <v>155</v>
      </c>
      <c r="D7" s="43">
        <v>450</v>
      </c>
      <c r="E7" s="130">
        <v>4</v>
      </c>
      <c r="F7" s="131">
        <v>13</v>
      </c>
      <c r="G7" s="30">
        <f t="array" ref="G7">E7*C7</f>
        <v>620</v>
      </c>
      <c r="H7" s="35">
        <f t="array" ref="H7">E7*D7</f>
        <v>1800</v>
      </c>
      <c r="I7" s="38">
        <f t="array" ref="I7">J7/D7</f>
        <v>0.65555555555555556</v>
      </c>
      <c r="J7" s="43">
        <f t="array" ref="J7">D7-C7</f>
        <v>295</v>
      </c>
      <c r="K7" s="43">
        <f t="array" ref="K7">H7-G7</f>
        <v>1180</v>
      </c>
      <c r="L7" s="46">
        <f t="array" ref="L7">F7*J7</f>
        <v>3835</v>
      </c>
      <c r="M7" s="51">
        <f t="array" ref="M7">C7*F7</f>
        <v>2015</v>
      </c>
      <c r="N7" s="5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4" customHeight="1">
      <c r="A8" s="84" t="s">
        <v>35</v>
      </c>
      <c r="B8" s="85" t="s">
        <v>33</v>
      </c>
      <c r="C8" s="30">
        <v>580</v>
      </c>
      <c r="D8" s="43">
        <v>1400</v>
      </c>
      <c r="E8" s="130">
        <v>0</v>
      </c>
      <c r="F8" s="131">
        <v>2</v>
      </c>
      <c r="G8" s="30">
        <f t="array" ref="G8">E8*C8</f>
        <v>0</v>
      </c>
      <c r="H8" s="35">
        <f t="array" ref="H8">E8*D8</f>
        <v>0</v>
      </c>
      <c r="I8" s="38">
        <f t="array" ref="I8">J8/D8</f>
        <v>0.58571428571428574</v>
      </c>
      <c r="J8" s="43">
        <f t="array" ref="J8">D8-C8</f>
        <v>820</v>
      </c>
      <c r="K8" s="43">
        <f t="array" ref="K8">H8-G8</f>
        <v>0</v>
      </c>
      <c r="L8" s="46">
        <f t="array" ref="L8">F8*J8</f>
        <v>1640</v>
      </c>
      <c r="M8" s="51">
        <f t="array" ref="M8">C8*F8</f>
        <v>1160</v>
      </c>
      <c r="N8" s="5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" customHeight="1">
      <c r="A9" s="84" t="s">
        <v>36</v>
      </c>
      <c r="B9" s="85" t="s">
        <v>37</v>
      </c>
      <c r="C9" s="30">
        <v>630</v>
      </c>
      <c r="D9" s="43">
        <v>1100</v>
      </c>
      <c r="E9" s="130">
        <v>45</v>
      </c>
      <c r="F9" s="131">
        <v>21</v>
      </c>
      <c r="G9" s="30">
        <f t="array" ref="G9">E9*C9</f>
        <v>28350</v>
      </c>
      <c r="H9" s="35">
        <f t="array" ref="H9">E9*D9</f>
        <v>49500</v>
      </c>
      <c r="I9" s="38">
        <f t="array" ref="I9">J9/D9</f>
        <v>0.42727272727272725</v>
      </c>
      <c r="J9" s="43">
        <f t="array" ref="J9">D9-C9</f>
        <v>470</v>
      </c>
      <c r="K9" s="43">
        <f t="array" ref="K9">H9-G9</f>
        <v>21150</v>
      </c>
      <c r="L9" s="46">
        <f t="array" ref="L9">F9*J9</f>
        <v>9870</v>
      </c>
      <c r="M9" s="51">
        <f t="array" ref="M9">C9*F9</f>
        <v>13230</v>
      </c>
      <c r="N9" s="5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4" customHeight="1">
      <c r="A10" s="84" t="s">
        <v>38</v>
      </c>
      <c r="B10" s="85" t="s">
        <v>39</v>
      </c>
      <c r="C10" s="30">
        <v>194</v>
      </c>
      <c r="D10" s="43">
        <v>300</v>
      </c>
      <c r="E10" s="130">
        <v>0</v>
      </c>
      <c r="F10" s="131">
        <v>1</v>
      </c>
      <c r="G10" s="30">
        <f t="array" ref="G10">E10*C10</f>
        <v>0</v>
      </c>
      <c r="H10" s="35">
        <f t="array" ref="H10">E10*D10</f>
        <v>0</v>
      </c>
      <c r="I10" s="38">
        <f t="array" ref="I10">J10/D10</f>
        <v>0.35333333333333333</v>
      </c>
      <c r="J10" s="43">
        <f t="array" ref="J10">D10-C10</f>
        <v>106</v>
      </c>
      <c r="K10" s="43">
        <f t="array" ref="K10">H10-G10</f>
        <v>0</v>
      </c>
      <c r="L10" s="46">
        <f t="array" ref="L10">F10*J10</f>
        <v>106</v>
      </c>
      <c r="M10" s="51">
        <f t="array" ref="M10">C10*F10</f>
        <v>194</v>
      </c>
      <c r="N10" s="52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4" customHeight="1">
      <c r="A11" s="84" t="s">
        <v>40</v>
      </c>
      <c r="B11" s="85" t="s">
        <v>41</v>
      </c>
      <c r="C11" s="30">
        <v>1000</v>
      </c>
      <c r="D11" s="43">
        <v>1700</v>
      </c>
      <c r="E11" s="130">
        <v>0</v>
      </c>
      <c r="F11" s="131">
        <v>0</v>
      </c>
      <c r="G11" s="30">
        <f t="array" ref="G11">E11*C11</f>
        <v>0</v>
      </c>
      <c r="H11" s="35">
        <f t="array" ref="H11">E11*D11</f>
        <v>0</v>
      </c>
      <c r="I11" s="38">
        <f t="array" ref="I11">J11/D11</f>
        <v>0.41176470588235292</v>
      </c>
      <c r="J11" s="43">
        <f t="array" ref="J11">D11-C11</f>
        <v>700</v>
      </c>
      <c r="K11" s="43">
        <f t="array" ref="K11">H11-G11</f>
        <v>0</v>
      </c>
      <c r="L11" s="46">
        <f t="array" ref="L11">F11*J11</f>
        <v>0</v>
      </c>
      <c r="M11" s="51">
        <f t="array" ref="M11">C11*F11</f>
        <v>0</v>
      </c>
      <c r="N11" s="52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4" customHeight="1">
      <c r="A12" s="84" t="s">
        <v>42</v>
      </c>
      <c r="B12" s="85" t="s">
        <v>43</v>
      </c>
      <c r="C12" s="30">
        <v>155</v>
      </c>
      <c r="D12" s="43">
        <v>200</v>
      </c>
      <c r="E12" s="130">
        <v>1</v>
      </c>
      <c r="F12" s="131">
        <v>0</v>
      </c>
      <c r="G12" s="30">
        <f>E12*C12</f>
        <v>155</v>
      </c>
      <c r="H12" s="35">
        <f t="array" ref="H12">E12*D12</f>
        <v>200</v>
      </c>
      <c r="I12" s="38">
        <f t="array" ref="I12">J12/D12</f>
        <v>0.22500000000000001</v>
      </c>
      <c r="J12" s="43">
        <f t="array" ref="J12">D12-C12</f>
        <v>45</v>
      </c>
      <c r="K12" s="43">
        <f t="array" ref="K12">H12-G12</f>
        <v>45</v>
      </c>
      <c r="L12" s="46">
        <f t="array" ref="L12">F12*J12</f>
        <v>0</v>
      </c>
      <c r="M12" s="51">
        <f t="array" ref="M12">C12*F12</f>
        <v>0</v>
      </c>
      <c r="N12" s="52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4" customHeight="1">
      <c r="A13" s="84" t="s">
        <v>44</v>
      </c>
      <c r="B13" s="85" t="s">
        <v>45</v>
      </c>
      <c r="C13" s="30">
        <v>153</v>
      </c>
      <c r="D13" s="43">
        <v>200</v>
      </c>
      <c r="E13" s="130">
        <v>1</v>
      </c>
      <c r="F13" s="131">
        <v>0</v>
      </c>
      <c r="G13" s="30">
        <f t="array" ref="G13">E13*C13</f>
        <v>153</v>
      </c>
      <c r="H13" s="35">
        <f t="array" ref="H13">E13*D13</f>
        <v>200</v>
      </c>
      <c r="I13" s="38">
        <f t="array" ref="I13">J13/D13</f>
        <v>0.23499999999999999</v>
      </c>
      <c r="J13" s="43">
        <f t="array" ref="J13">D13-C13</f>
        <v>47</v>
      </c>
      <c r="K13" s="43">
        <f t="array" ref="K13">H13-G13</f>
        <v>47</v>
      </c>
      <c r="L13" s="46">
        <f t="array" ref="L13">F13*J13</f>
        <v>0</v>
      </c>
      <c r="M13" s="51">
        <f t="array" ref="M13">C13*F13</f>
        <v>0</v>
      </c>
      <c r="N13" s="52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4" customHeight="1">
      <c r="A14" s="84" t="s">
        <v>46</v>
      </c>
      <c r="B14" s="85" t="s">
        <v>47</v>
      </c>
      <c r="C14" s="30">
        <v>110</v>
      </c>
      <c r="D14" s="43">
        <v>180</v>
      </c>
      <c r="E14" s="130">
        <v>0</v>
      </c>
      <c r="F14" s="131">
        <v>1</v>
      </c>
      <c r="G14" s="30">
        <f t="array" ref="G14">E14*C14</f>
        <v>0</v>
      </c>
      <c r="H14" s="35">
        <f t="array" ref="H14">E14*D14</f>
        <v>0</v>
      </c>
      <c r="I14" s="38">
        <f t="array" ref="I14">J14/D14</f>
        <v>0.3888888888888889</v>
      </c>
      <c r="J14" s="43">
        <f t="array" ref="J14">D14-C14</f>
        <v>70</v>
      </c>
      <c r="K14" s="43">
        <f t="array" ref="K14">H14-G14</f>
        <v>0</v>
      </c>
      <c r="L14" s="46">
        <f t="array" ref="L14">F14*J14</f>
        <v>70</v>
      </c>
      <c r="M14" s="51">
        <f t="array" ref="M14">C14*F14</f>
        <v>110</v>
      </c>
      <c r="N14" s="52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4" customHeight="1">
      <c r="A15" s="118" t="s">
        <v>48</v>
      </c>
      <c r="B15" s="119" t="s">
        <v>39</v>
      </c>
      <c r="C15" s="120">
        <v>92</v>
      </c>
      <c r="D15" s="171">
        <v>350</v>
      </c>
      <c r="E15" s="172">
        <v>0</v>
      </c>
      <c r="F15" s="173">
        <v>1</v>
      </c>
      <c r="G15" s="30">
        <f t="array" ref="G15">E15*C15</f>
        <v>0</v>
      </c>
      <c r="H15" s="35">
        <f t="array" ref="H15">E15*D15</f>
        <v>0</v>
      </c>
      <c r="I15" s="38">
        <f t="array" ref="I15">J15/D15</f>
        <v>0.7371428571428571</v>
      </c>
      <c r="J15" s="43">
        <f t="array" ref="J15">D15-C15</f>
        <v>258</v>
      </c>
      <c r="K15" s="43">
        <f t="array" ref="K15">H15-G15</f>
        <v>0</v>
      </c>
      <c r="L15" s="46">
        <f t="array" ref="L15">F15*J15</f>
        <v>258</v>
      </c>
      <c r="M15" s="51">
        <f t="array" ref="M15">C15*F15</f>
        <v>92</v>
      </c>
      <c r="N15" s="5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4" customHeight="1">
      <c r="A16" s="84" t="s">
        <v>49</v>
      </c>
      <c r="B16" s="85" t="s">
        <v>39</v>
      </c>
      <c r="C16" s="30">
        <v>92</v>
      </c>
      <c r="D16" s="43">
        <v>350</v>
      </c>
      <c r="E16" s="130">
        <v>1</v>
      </c>
      <c r="F16" s="131">
        <v>0</v>
      </c>
      <c r="G16" s="30">
        <f t="array" ref="G16">E16*C16</f>
        <v>92</v>
      </c>
      <c r="H16" s="35">
        <f t="array" ref="H16">E16*D16</f>
        <v>350</v>
      </c>
      <c r="I16" s="38">
        <f t="array" ref="I16">J16/D16</f>
        <v>0.7371428571428571</v>
      </c>
      <c r="J16" s="43">
        <f t="array" ref="J16">D16-C16</f>
        <v>258</v>
      </c>
      <c r="K16" s="43">
        <f t="array" ref="K16">H16-G16</f>
        <v>258</v>
      </c>
      <c r="L16" s="46">
        <f t="array" ref="L16">F16*J16</f>
        <v>0</v>
      </c>
      <c r="M16" s="51">
        <f t="array" ref="M16">C16*F16</f>
        <v>0</v>
      </c>
      <c r="N16" s="5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4" customHeight="1">
      <c r="A17" s="84" t="s">
        <v>50</v>
      </c>
      <c r="B17" s="85" t="s">
        <v>39</v>
      </c>
      <c r="C17" s="30">
        <v>92</v>
      </c>
      <c r="D17" s="43">
        <v>350</v>
      </c>
      <c r="E17" s="130">
        <v>0</v>
      </c>
      <c r="F17" s="131">
        <v>0</v>
      </c>
      <c r="G17" s="30">
        <f t="array" ref="G17">E17*C17</f>
        <v>0</v>
      </c>
      <c r="H17" s="35">
        <f t="array" ref="H17">E17*D17</f>
        <v>0</v>
      </c>
      <c r="I17" s="38">
        <f t="array" ref="I17">J17/D17</f>
        <v>0.7371428571428571</v>
      </c>
      <c r="J17" s="43">
        <f t="array" ref="J17">D17-C17</f>
        <v>258</v>
      </c>
      <c r="K17" s="43">
        <f t="array" ref="K17">H17-G17</f>
        <v>0</v>
      </c>
      <c r="L17" s="46">
        <f t="array" ref="L17">F17*J17</f>
        <v>0</v>
      </c>
      <c r="M17" s="51">
        <f t="array" ref="M17">C17*F17</f>
        <v>0</v>
      </c>
      <c r="N17" s="52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4" customHeight="1">
      <c r="A18" s="84" t="s">
        <v>51</v>
      </c>
      <c r="B18" s="85" t="s">
        <v>39</v>
      </c>
      <c r="C18" s="30">
        <v>169</v>
      </c>
      <c r="D18" s="43">
        <v>350</v>
      </c>
      <c r="E18" s="130">
        <v>1</v>
      </c>
      <c r="F18" s="131">
        <v>0</v>
      </c>
      <c r="G18" s="30">
        <f t="array" ref="G18">E18*C18</f>
        <v>169</v>
      </c>
      <c r="H18" s="35">
        <f t="array" ref="H18">E18*D18</f>
        <v>350</v>
      </c>
      <c r="I18" s="38">
        <f t="array" ref="I18">J18/D18</f>
        <v>0.51714285714285713</v>
      </c>
      <c r="J18" s="43">
        <f t="array" ref="J18">D18-C18</f>
        <v>181</v>
      </c>
      <c r="K18" s="43">
        <f t="array" ref="K18">H18-G18</f>
        <v>181</v>
      </c>
      <c r="L18" s="46">
        <f t="array" ref="L18">F18*J18</f>
        <v>0</v>
      </c>
      <c r="M18" s="51">
        <f t="array" ref="M18">C18*F18</f>
        <v>0</v>
      </c>
      <c r="N18" s="5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4" customHeight="1">
      <c r="A19" s="84" t="s">
        <v>52</v>
      </c>
      <c r="B19" s="85" t="s">
        <v>39</v>
      </c>
      <c r="C19" s="30">
        <v>186</v>
      </c>
      <c r="D19" s="43">
        <v>350</v>
      </c>
      <c r="E19" s="130">
        <v>1</v>
      </c>
      <c r="F19" s="131">
        <v>0</v>
      </c>
      <c r="G19" s="30">
        <f t="array" ref="G19">E19*C19</f>
        <v>186</v>
      </c>
      <c r="H19" s="35">
        <f t="array" ref="H19">E19*D19</f>
        <v>350</v>
      </c>
      <c r="I19" s="38">
        <f t="array" ref="I19">J19/D19</f>
        <v>0.46857142857142858</v>
      </c>
      <c r="J19" s="43">
        <f t="array" ref="J19">D19-C19</f>
        <v>164</v>
      </c>
      <c r="K19" s="43">
        <f t="array" ref="K19">H19-G19</f>
        <v>164</v>
      </c>
      <c r="L19" s="46">
        <f t="array" ref="L19">F19*J19</f>
        <v>0</v>
      </c>
      <c r="M19" s="51">
        <f t="array" ref="M19">C19*F19</f>
        <v>0</v>
      </c>
      <c r="N19" s="5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4" customHeight="1">
      <c r="A20" s="84" t="s">
        <v>53</v>
      </c>
      <c r="B20" s="85" t="s">
        <v>54</v>
      </c>
      <c r="C20" s="30">
        <v>300</v>
      </c>
      <c r="D20" s="43">
        <v>450</v>
      </c>
      <c r="E20" s="130">
        <v>0</v>
      </c>
      <c r="F20" s="131">
        <v>1</v>
      </c>
      <c r="G20" s="30">
        <f t="array" ref="G20">E20*C20</f>
        <v>0</v>
      </c>
      <c r="H20" s="35">
        <f t="array" ref="H20">E20*D20</f>
        <v>0</v>
      </c>
      <c r="I20" s="38">
        <f t="array" ref="I20">J20/D20</f>
        <v>0.33333333333333331</v>
      </c>
      <c r="J20" s="43">
        <f t="array" ref="J20">D20-C20</f>
        <v>150</v>
      </c>
      <c r="K20" s="43">
        <f t="array" ref="K20">H20-G20</f>
        <v>0</v>
      </c>
      <c r="L20" s="46">
        <f t="array" ref="L20">F20*J20</f>
        <v>150</v>
      </c>
      <c r="M20" s="51">
        <f t="array" ref="M20">C20*F20</f>
        <v>300</v>
      </c>
      <c r="N20" s="5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4" customHeight="1">
      <c r="A21" s="84"/>
      <c r="B21" s="85"/>
      <c r="C21" s="30"/>
      <c r="D21" s="43"/>
      <c r="E21" s="130"/>
      <c r="F21" s="131"/>
      <c r="G21" s="30">
        <f t="array" ref="G21">E21*C21</f>
        <v>0</v>
      </c>
      <c r="H21" s="35">
        <f t="array" ref="H21">E21*D21</f>
        <v>0</v>
      </c>
      <c r="I21" s="38" t="e">
        <f t="array" ref="I21">J21/D21</f>
        <v>#DIV/0!</v>
      </c>
      <c r="J21" s="43">
        <f t="array" ref="J21">D21-C21</f>
        <v>0</v>
      </c>
      <c r="K21" s="43">
        <f t="array" ref="K21">H21-G21</f>
        <v>0</v>
      </c>
      <c r="L21" s="46">
        <f t="array" ref="L21">F21*J21</f>
        <v>0</v>
      </c>
      <c r="M21" s="51">
        <f t="array" ref="M21">C21*F21</f>
        <v>0</v>
      </c>
      <c r="N21" s="5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4" customHeight="1">
      <c r="A22" s="84"/>
      <c r="B22" s="85"/>
      <c r="C22" s="30"/>
      <c r="D22" s="43"/>
      <c r="E22" s="130"/>
      <c r="F22" s="131"/>
      <c r="G22" s="30">
        <f t="array" ref="G22">E22*C22</f>
        <v>0</v>
      </c>
      <c r="H22" s="35">
        <f t="array" ref="H22">E22*D22</f>
        <v>0</v>
      </c>
      <c r="I22" s="38" t="e">
        <f t="array" ref="I22">J22/D22</f>
        <v>#DIV/0!</v>
      </c>
      <c r="J22" s="43">
        <f t="array" ref="J22">D22-C22</f>
        <v>0</v>
      </c>
      <c r="K22" s="43">
        <f t="array" ref="K22">H22-G22</f>
        <v>0</v>
      </c>
      <c r="L22" s="46">
        <f t="array" ref="L22">F22*J22</f>
        <v>0</v>
      </c>
      <c r="M22" s="51">
        <f t="array" ref="M22">C22*F22</f>
        <v>0</v>
      </c>
      <c r="N22" s="5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4" customHeight="1">
      <c r="A23" s="84"/>
      <c r="B23" s="85"/>
      <c r="C23" s="30"/>
      <c r="D23" s="43"/>
      <c r="E23" s="130"/>
      <c r="F23" s="131"/>
      <c r="G23" s="30">
        <f t="array" ref="G23">E23*C23</f>
        <v>0</v>
      </c>
      <c r="H23" s="35">
        <f t="array" ref="H23">E23*D23</f>
        <v>0</v>
      </c>
      <c r="I23" s="38" t="e">
        <f t="array" ref="I23">J23/D23</f>
        <v>#DIV/0!</v>
      </c>
      <c r="J23" s="43">
        <f t="array" ref="J23">D23-C23</f>
        <v>0</v>
      </c>
      <c r="K23" s="43">
        <f t="array" ref="K23">H23-G23</f>
        <v>0</v>
      </c>
      <c r="L23" s="46">
        <f t="array" ref="L23">F23*J23</f>
        <v>0</v>
      </c>
      <c r="M23" s="51">
        <f t="array" ref="M23">C23*F23</f>
        <v>0</v>
      </c>
      <c r="N23" s="5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4" customHeight="1">
      <c r="A24" s="84"/>
      <c r="B24" s="85"/>
      <c r="C24" s="30"/>
      <c r="D24" s="43"/>
      <c r="E24" s="130"/>
      <c r="F24" s="131"/>
      <c r="G24" s="30">
        <f t="array" ref="G24">E24*C24</f>
        <v>0</v>
      </c>
      <c r="H24" s="35">
        <f t="array" ref="H24">E24*D24</f>
        <v>0</v>
      </c>
      <c r="I24" s="38" t="e">
        <f t="array" ref="I24">J24/D24</f>
        <v>#DIV/0!</v>
      </c>
      <c r="J24" s="43">
        <f t="array" ref="J24">D24-C24</f>
        <v>0</v>
      </c>
      <c r="K24" s="43">
        <f t="array" ref="K24">H24-G24</f>
        <v>0</v>
      </c>
      <c r="L24" s="46">
        <f t="array" ref="L24">F24*J24</f>
        <v>0</v>
      </c>
      <c r="M24" s="51">
        <f t="array" ref="M24">C24*F24</f>
        <v>0</v>
      </c>
      <c r="N24" s="5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4" customHeight="1">
      <c r="A25" s="84"/>
      <c r="B25" s="85"/>
      <c r="C25" s="30"/>
      <c r="D25" s="43"/>
      <c r="E25" s="130"/>
      <c r="F25" s="131"/>
      <c r="G25" s="30">
        <f t="array" ref="G25">E25*C25</f>
        <v>0</v>
      </c>
      <c r="H25" s="35">
        <f t="array" ref="H25">E25*D25</f>
        <v>0</v>
      </c>
      <c r="I25" s="38" t="e">
        <f t="array" ref="I25">J25/D25</f>
        <v>#DIV/0!</v>
      </c>
      <c r="J25" s="43">
        <f t="array" ref="J25">D25-C25</f>
        <v>0</v>
      </c>
      <c r="K25" s="43">
        <f t="array" ref="K25">H25-G25</f>
        <v>0</v>
      </c>
      <c r="L25" s="46">
        <f t="array" ref="L25">F25*J25</f>
        <v>0</v>
      </c>
      <c r="M25" s="51">
        <f t="array" ref="M25">C25*F25</f>
        <v>0</v>
      </c>
      <c r="N25" s="5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4" customHeight="1">
      <c r="A26" s="84"/>
      <c r="B26" s="85"/>
      <c r="C26" s="30"/>
      <c r="D26" s="43"/>
      <c r="E26" s="130"/>
      <c r="F26" s="131"/>
      <c r="G26" s="30">
        <f t="array" ref="G26">E26*C26</f>
        <v>0</v>
      </c>
      <c r="H26" s="35">
        <f t="array" ref="H26">E26*D26</f>
        <v>0</v>
      </c>
      <c r="I26" s="38" t="e">
        <f t="array" ref="I26">J26/D26</f>
        <v>#DIV/0!</v>
      </c>
      <c r="J26" s="43">
        <f t="array" ref="J26">D26-C26</f>
        <v>0</v>
      </c>
      <c r="K26" s="43">
        <f t="array" ref="K26">H26-G26</f>
        <v>0</v>
      </c>
      <c r="L26" s="46">
        <f t="array" ref="L26">F26*J26</f>
        <v>0</v>
      </c>
      <c r="M26" s="51">
        <f t="array" ref="M26">C26*F26</f>
        <v>0</v>
      </c>
      <c r="N26" s="5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4" customHeight="1">
      <c r="A27" s="84"/>
      <c r="B27" s="85"/>
      <c r="C27" s="30"/>
      <c r="D27" s="43"/>
      <c r="E27" s="130"/>
      <c r="F27" s="131"/>
      <c r="G27" s="30">
        <f t="array" ref="G27">E27*C27</f>
        <v>0</v>
      </c>
      <c r="H27" s="35">
        <f t="array" ref="H27">E27*D27</f>
        <v>0</v>
      </c>
      <c r="I27" s="38" t="e">
        <f t="array" ref="I27">J27/D27</f>
        <v>#DIV/0!</v>
      </c>
      <c r="J27" s="43">
        <f t="array" ref="J27">D27-C27</f>
        <v>0</v>
      </c>
      <c r="K27" s="43">
        <f t="array" ref="K27">H27-G27</f>
        <v>0</v>
      </c>
      <c r="L27" s="46">
        <f t="array" ref="L27">F27*J27</f>
        <v>0</v>
      </c>
      <c r="M27" s="51">
        <f t="array" ref="M27">C27*F27</f>
        <v>0</v>
      </c>
      <c r="N27" s="5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4" customHeight="1">
      <c r="A28" s="84"/>
      <c r="B28" s="85"/>
      <c r="C28" s="30"/>
      <c r="D28" s="43"/>
      <c r="E28" s="130"/>
      <c r="F28" s="131"/>
      <c r="G28" s="30">
        <f t="array" ref="G28">E28*C28</f>
        <v>0</v>
      </c>
      <c r="H28" s="35">
        <f t="array" ref="H28">E28*D28</f>
        <v>0</v>
      </c>
      <c r="I28" s="38" t="e">
        <f t="array" ref="I28">J28/D28</f>
        <v>#DIV/0!</v>
      </c>
      <c r="J28" s="43">
        <f t="array" ref="J28">D28-C28</f>
        <v>0</v>
      </c>
      <c r="K28" s="43">
        <f t="array" ref="K28">H28-G28</f>
        <v>0</v>
      </c>
      <c r="L28" s="46">
        <f t="array" ref="L28">F28*J28</f>
        <v>0</v>
      </c>
      <c r="M28" s="51">
        <f t="array" ref="M28">C28*F28</f>
        <v>0</v>
      </c>
      <c r="N28" s="5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4" customHeight="1">
      <c r="A29" s="84"/>
      <c r="B29" s="85"/>
      <c r="C29" s="30"/>
      <c r="D29" s="43"/>
      <c r="E29" s="130"/>
      <c r="F29" s="131"/>
      <c r="G29" s="30">
        <f t="array" ref="G29">E29*C29</f>
        <v>0</v>
      </c>
      <c r="H29" s="35">
        <f t="array" ref="H29">E29*D29</f>
        <v>0</v>
      </c>
      <c r="I29" s="38" t="e">
        <f t="array" ref="I29">J29/D29</f>
        <v>#DIV/0!</v>
      </c>
      <c r="J29" s="43">
        <f t="array" ref="J29">D29-C29</f>
        <v>0</v>
      </c>
      <c r="K29" s="43">
        <f t="array" ref="K29">H29-G29</f>
        <v>0</v>
      </c>
      <c r="L29" s="46">
        <f t="array" ref="L29">F29*J29</f>
        <v>0</v>
      </c>
      <c r="M29" s="51">
        <f t="array" ref="M29">C29*F29</f>
        <v>0</v>
      </c>
      <c r="N29" s="5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4" customHeight="1">
      <c r="A30" s="84"/>
      <c r="B30" s="85"/>
      <c r="C30" s="30"/>
      <c r="D30" s="43"/>
      <c r="E30" s="130"/>
      <c r="F30" s="131"/>
      <c r="G30" s="30">
        <f t="array" ref="G30">E30*C30</f>
        <v>0</v>
      </c>
      <c r="H30" s="35">
        <f t="array" ref="H30">E30*D30</f>
        <v>0</v>
      </c>
      <c r="I30" s="38" t="e">
        <f t="array" ref="I30">J30/D30</f>
        <v>#DIV/0!</v>
      </c>
      <c r="J30" s="43">
        <f t="array" ref="J30">D30-C30</f>
        <v>0</v>
      </c>
      <c r="K30" s="43">
        <f t="array" ref="K30">H30-G30</f>
        <v>0</v>
      </c>
      <c r="L30" s="46">
        <f t="array" ref="L30">F30*J30</f>
        <v>0</v>
      </c>
      <c r="M30" s="51">
        <f t="array" ref="M30">C30*F30</f>
        <v>0</v>
      </c>
      <c r="N30" s="5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4" customHeight="1">
      <c r="A31" s="84"/>
      <c r="B31" s="85"/>
      <c r="C31" s="30"/>
      <c r="D31" s="43"/>
      <c r="E31" s="130"/>
      <c r="F31" s="131"/>
      <c r="G31" s="30">
        <f t="array" ref="G31">E31*C31</f>
        <v>0</v>
      </c>
      <c r="H31" s="35">
        <f t="array" ref="H31">E31*D31</f>
        <v>0</v>
      </c>
      <c r="I31" s="38" t="e">
        <f t="array" ref="I31">J31/D31</f>
        <v>#DIV/0!</v>
      </c>
      <c r="J31" s="43">
        <f t="array" ref="J31">D31-C31</f>
        <v>0</v>
      </c>
      <c r="K31" s="43">
        <f t="array" ref="K31">H31-G31</f>
        <v>0</v>
      </c>
      <c r="L31" s="46">
        <f t="array" ref="L31">F31*J31</f>
        <v>0</v>
      </c>
      <c r="M31" s="51">
        <f t="array" ref="M31">C31*F31</f>
        <v>0</v>
      </c>
      <c r="N31" s="5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4" customHeight="1">
      <c r="A32" s="118"/>
      <c r="B32" s="119"/>
      <c r="C32" s="120"/>
      <c r="D32" s="171"/>
      <c r="E32" s="172"/>
      <c r="F32" s="173"/>
      <c r="G32" s="30">
        <f t="array" ref="G32">E32*C32</f>
        <v>0</v>
      </c>
      <c r="H32" s="35">
        <f t="array" ref="H32">E32*D32</f>
        <v>0</v>
      </c>
      <c r="I32" s="38" t="e">
        <f t="array" ref="I32">J32/D32</f>
        <v>#DIV/0!</v>
      </c>
      <c r="J32" s="43">
        <f t="array" ref="J32">D32-C32</f>
        <v>0</v>
      </c>
      <c r="K32" s="43">
        <f t="array" ref="K32">H32-G32</f>
        <v>0</v>
      </c>
      <c r="L32" s="46">
        <f t="array" ref="L32">F32*J32</f>
        <v>0</v>
      </c>
      <c r="M32" s="51">
        <f t="array" ref="M32">C32*F32</f>
        <v>0</v>
      </c>
      <c r="N32" s="52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4" customHeight="1">
      <c r="A33" s="174"/>
      <c r="B33" s="175"/>
      <c r="C33" s="30"/>
      <c r="D33" s="43"/>
      <c r="E33" s="130"/>
      <c r="F33" s="131"/>
      <c r="G33" s="30">
        <f t="array" ref="G33">E33*C33</f>
        <v>0</v>
      </c>
      <c r="H33" s="35">
        <f t="array" ref="H33">E33*D33</f>
        <v>0</v>
      </c>
      <c r="I33" s="38" t="e">
        <f t="array" ref="I33">J33/D33</f>
        <v>#DIV/0!</v>
      </c>
      <c r="J33" s="43">
        <f t="array" ref="J33">D33-C33</f>
        <v>0</v>
      </c>
      <c r="K33" s="43">
        <f t="array" ref="K33">H33-G33</f>
        <v>0</v>
      </c>
      <c r="L33" s="46">
        <f t="array" ref="L33">F33*J33</f>
        <v>0</v>
      </c>
      <c r="M33" s="51">
        <f t="array" ref="M33">C33*F33</f>
        <v>0</v>
      </c>
      <c r="N33" s="52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4" customHeight="1">
      <c r="A34" s="176"/>
      <c r="B34" s="176"/>
      <c r="C34" s="177"/>
      <c r="D34" s="178"/>
      <c r="E34" s="179" t="s">
        <v>55</v>
      </c>
      <c r="F34" s="180" t="s">
        <v>56</v>
      </c>
      <c r="G34" s="181" t="s">
        <v>57</v>
      </c>
      <c r="H34" s="182" t="s">
        <v>58</v>
      </c>
      <c r="I34" s="183" t="s">
        <v>59</v>
      </c>
      <c r="J34" s="178"/>
      <c r="K34" s="184" t="s">
        <v>60</v>
      </c>
      <c r="L34" s="185" t="s">
        <v>61</v>
      </c>
      <c r="M34" s="186" t="s">
        <v>62</v>
      </c>
      <c r="N34" s="5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4" customHeight="1">
      <c r="A35" s="176"/>
      <c r="B35" s="176"/>
      <c r="C35" s="187"/>
      <c r="D35" s="188"/>
      <c r="E35" s="189">
        <f t="array" ref="E35">SUM(E2:E33)</f>
        <v>93</v>
      </c>
      <c r="F35" s="190">
        <f>SUM(F2:F33)</f>
        <v>66</v>
      </c>
      <c r="G35" s="191">
        <f t="array" ref="G35">SUM(G2:G33)</f>
        <v>53905</v>
      </c>
      <c r="H35" s="192">
        <f t="array" ref="H35">SUM(H2:H33)</f>
        <v>87850</v>
      </c>
      <c r="I35" s="193">
        <v>0.5</v>
      </c>
      <c r="J35" s="194"/>
      <c r="K35" s="195">
        <f t="array" ref="K35">H35-G35</f>
        <v>33945</v>
      </c>
      <c r="L35" s="195">
        <f t="array" ref="L35">SUM(L2:L33)</f>
        <v>23649</v>
      </c>
      <c r="M35" s="191">
        <f t="array" ref="M35">SUM(M2:M33)</f>
        <v>33081</v>
      </c>
      <c r="N35" s="52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96"/>
      <c r="B36" s="197"/>
      <c r="C36" s="197"/>
      <c r="D36" s="198"/>
      <c r="E36" s="197"/>
      <c r="F36" s="198"/>
      <c r="G36" s="198"/>
      <c r="H36" s="197"/>
      <c r="I36" s="199"/>
      <c r="J36" s="197"/>
      <c r="K36" s="197"/>
      <c r="L36" s="198"/>
      <c r="M36" s="197"/>
      <c r="N36" s="200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4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4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4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4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4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4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4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4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4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4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4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4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4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4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4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4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4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4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4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4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4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4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4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4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4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4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4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4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4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4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4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4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4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4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4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4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4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4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4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4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4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4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4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4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4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4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4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4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4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4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4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4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4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4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4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4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4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4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4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4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4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4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4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4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4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4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4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4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4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4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4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4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4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4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4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4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4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4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4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4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4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4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4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4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4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4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4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4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4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4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4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4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4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4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4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4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4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4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4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4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4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4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4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4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4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4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4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4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4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4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4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4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4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4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4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4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4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4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4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4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4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4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4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4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4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4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4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4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4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4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4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4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4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4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4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4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4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4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4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4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4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4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4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4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4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4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4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4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4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4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4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4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4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4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4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4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4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4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4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4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4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4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4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4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4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4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4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4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4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4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4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4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4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4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4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4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4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4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4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4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4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4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4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4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4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4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4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4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4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4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4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4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4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4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4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4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4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4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4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4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4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4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4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4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4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4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4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4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4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4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4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4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4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4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4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4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4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4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4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4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4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4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4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4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4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4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4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4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4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4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4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4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4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4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4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4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4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4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4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4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4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4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4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4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4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4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4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4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4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4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4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4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4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4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4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4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4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4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4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4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4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4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4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4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4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4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4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4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4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4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4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4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4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4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4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4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4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4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4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4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4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4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4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4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4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4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4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4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4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4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4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4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4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4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4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4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4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4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4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4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4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4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4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4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4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4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4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4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4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4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4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4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4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4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4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4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4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4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4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4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4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4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4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4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4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4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4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4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4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4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4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4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4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4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4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4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4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4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4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4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4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4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4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4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4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4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4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4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4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4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4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4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4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4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4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4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4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4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4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4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4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4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4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4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4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4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4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4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4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4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4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4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4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4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4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4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4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4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4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4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4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4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4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4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4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4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4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4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4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4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4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4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4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4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4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4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4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4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4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4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4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4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4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4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4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4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4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4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4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4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4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4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4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4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4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4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4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4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4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4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4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4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4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4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4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4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4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4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4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4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4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4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4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4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4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4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4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4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4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4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4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4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4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4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4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4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4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4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4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4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4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4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4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4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4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4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4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4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4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4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4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4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4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4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4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4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4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4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4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4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4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4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4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4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4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4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4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4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4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4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4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4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4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4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4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4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4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4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4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4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4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4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4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4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4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4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4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4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4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4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4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4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4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4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4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4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4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4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4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4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4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4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4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4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4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4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4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4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4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4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4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4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4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4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4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4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4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4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4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4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4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4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4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4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4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4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4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4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4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4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4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4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4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4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4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4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4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4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4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4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4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4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4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4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4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4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4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4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4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4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4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4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4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4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4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4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4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4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4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4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4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4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4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4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4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4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4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4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4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4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4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4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4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4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4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4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4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4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4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4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4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4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4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4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4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4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4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4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4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4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4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4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4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4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4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4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4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4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4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4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4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4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4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4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4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4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4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4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4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4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4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4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4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4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4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4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4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4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4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4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4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4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4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4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4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4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4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4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4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4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4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4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4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4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4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4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4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4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4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4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4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4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4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4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4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4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4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4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4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4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4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4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4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4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4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4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4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4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4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4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4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4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4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4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4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4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4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4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4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4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4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4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4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4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4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4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4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4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4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4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4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4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4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4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4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4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4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4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4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4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4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4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4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4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4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4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4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4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4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4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4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4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4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4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4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4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4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4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4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4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4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4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4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4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4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4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4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4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4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4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4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4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4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4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4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4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4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4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4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4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4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4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4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4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4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4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4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4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4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4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4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4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4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4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4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4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4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4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4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4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4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4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4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4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4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4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4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4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4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4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4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4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4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4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4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4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4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4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4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4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4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4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4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4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4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4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4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4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4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4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4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4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4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4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4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4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4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4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4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4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4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4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4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4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4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4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4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4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4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4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4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4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4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4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4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4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4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4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4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4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4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4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4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4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4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4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4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4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4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4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4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4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4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4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4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4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4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4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4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4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4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4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4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4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4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4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4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4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4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4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4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4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4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4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4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4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4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4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4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4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4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4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4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4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4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4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4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4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4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4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4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4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4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4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4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4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4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4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4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4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4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4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4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4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4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4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4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4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4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4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4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4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4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4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4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4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4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4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4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4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4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4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4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4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4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4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4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4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4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4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4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4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4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4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4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4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4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4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4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4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4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4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4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4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4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4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4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4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4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4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4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4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4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4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4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4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4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4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4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4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4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4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4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4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4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4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4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4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4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4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4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4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4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4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4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4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4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4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4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4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4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4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4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4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24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24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24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24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24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24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24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24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24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24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24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</sheetData>
  <autoFilter ref="A1:M35"/>
  <pageMargins left="0.7" right="0.7" top="0.75" bottom="0.75" header="0" footer="0"/>
  <pageSetup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7"/>
  <sheetViews>
    <sheetView showGridLines="0" workbookViewId="0"/>
  </sheetViews>
  <sheetFormatPr defaultColWidth="12.625" defaultRowHeight="15" customHeight="1"/>
  <cols>
    <col min="1" max="1" width="24.375" style="224" customWidth="1"/>
    <col min="2" max="2" width="16.125" style="224" customWidth="1"/>
    <col min="3" max="3" width="15.875" style="224" customWidth="1"/>
    <col min="4" max="4" width="14.375" style="224" customWidth="1"/>
    <col min="5" max="5" width="14.875" style="224" customWidth="1"/>
    <col min="6" max="6" width="35.25" style="224" customWidth="1"/>
    <col min="7" max="7" width="14" style="224" customWidth="1"/>
    <col min="8" max="8" width="8.875" style="224" customWidth="1"/>
    <col min="9" max="26" width="10" style="224" customWidth="1"/>
  </cols>
  <sheetData>
    <row r="1" spans="1:26" ht="31.5" customHeight="1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9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7.25" customHeight="1">
      <c r="A2" s="100" t="s">
        <v>69</v>
      </c>
      <c r="B2" s="17" t="s">
        <v>33</v>
      </c>
      <c r="C2" s="64">
        <v>1</v>
      </c>
      <c r="D2" s="21">
        <v>1000</v>
      </c>
      <c r="E2" s="66">
        <v>1700</v>
      </c>
      <c r="F2" s="66" t="s">
        <v>70</v>
      </c>
      <c r="G2" s="2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6.5" customHeight="1">
      <c r="A3" s="100" t="s">
        <v>27</v>
      </c>
      <c r="B3" s="70" t="s">
        <v>28</v>
      </c>
      <c r="C3" s="71">
        <v>1</v>
      </c>
      <c r="D3" s="72">
        <v>620</v>
      </c>
      <c r="E3" s="73">
        <v>840</v>
      </c>
      <c r="F3" s="66" t="s">
        <v>71</v>
      </c>
      <c r="G3" s="26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6.5" customHeight="1">
      <c r="A4" s="100" t="s">
        <v>72</v>
      </c>
      <c r="B4" s="63" t="s">
        <v>39</v>
      </c>
      <c r="C4" s="64">
        <v>1</v>
      </c>
      <c r="D4" s="65">
        <v>194</v>
      </c>
      <c r="E4" s="66">
        <v>300</v>
      </c>
      <c r="F4" s="66" t="s">
        <v>70</v>
      </c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6.5" customHeight="1">
      <c r="A5" s="100" t="s">
        <v>34</v>
      </c>
      <c r="B5" s="70" t="s">
        <v>28</v>
      </c>
      <c r="C5" s="71">
        <v>1</v>
      </c>
      <c r="D5" s="72">
        <v>155</v>
      </c>
      <c r="E5" s="73">
        <v>300</v>
      </c>
      <c r="F5" s="66"/>
      <c r="G5" s="26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 customHeight="1">
      <c r="A6" s="100" t="s">
        <v>34</v>
      </c>
      <c r="B6" s="63" t="s">
        <v>28</v>
      </c>
      <c r="C6" s="64">
        <v>2</v>
      </c>
      <c r="D6" s="65">
        <v>310</v>
      </c>
      <c r="E6" s="66">
        <v>600</v>
      </c>
      <c r="F6" s="66"/>
      <c r="G6" s="2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100" t="s">
        <v>27</v>
      </c>
      <c r="B7" s="80" t="s">
        <v>28</v>
      </c>
      <c r="C7" s="210">
        <v>1</v>
      </c>
      <c r="D7" s="72">
        <v>620</v>
      </c>
      <c r="E7" s="31">
        <v>840</v>
      </c>
      <c r="F7" s="66"/>
      <c r="G7" s="26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100" t="s">
        <v>27</v>
      </c>
      <c r="B8" s="63" t="s">
        <v>29</v>
      </c>
      <c r="C8" s="64">
        <v>1</v>
      </c>
      <c r="D8" s="65">
        <v>620</v>
      </c>
      <c r="E8" s="66">
        <v>840</v>
      </c>
      <c r="F8" s="66"/>
      <c r="G8" s="26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6.5" customHeight="1">
      <c r="A9" s="100" t="s">
        <v>27</v>
      </c>
      <c r="B9" s="70" t="s">
        <v>28</v>
      </c>
      <c r="C9" s="71">
        <v>1</v>
      </c>
      <c r="D9" s="72">
        <v>620</v>
      </c>
      <c r="E9" s="73">
        <v>840</v>
      </c>
      <c r="F9" s="66"/>
      <c r="G9" s="26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6.5" customHeight="1">
      <c r="A10" s="100" t="s">
        <v>27</v>
      </c>
      <c r="B10" s="100" t="s">
        <v>29</v>
      </c>
      <c r="C10" s="64">
        <v>1</v>
      </c>
      <c r="D10" s="65">
        <v>620</v>
      </c>
      <c r="E10" s="66">
        <v>840</v>
      </c>
      <c r="F10" s="66"/>
      <c r="G10" s="26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6.5" customHeight="1">
      <c r="A11" s="80" t="s">
        <v>34</v>
      </c>
      <c r="B11" s="80" t="s">
        <v>28</v>
      </c>
      <c r="C11" s="71">
        <v>1</v>
      </c>
      <c r="D11" s="72">
        <v>155</v>
      </c>
      <c r="E11" s="73">
        <v>400</v>
      </c>
      <c r="F11" s="66"/>
      <c r="G11" s="26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 customHeight="1">
      <c r="A12" s="63" t="s">
        <v>48</v>
      </c>
      <c r="B12" s="63" t="s">
        <v>39</v>
      </c>
      <c r="C12" s="64">
        <v>1</v>
      </c>
      <c r="D12" s="65">
        <v>92</v>
      </c>
      <c r="E12" s="66">
        <v>350</v>
      </c>
      <c r="F12" s="66" t="s">
        <v>73</v>
      </c>
      <c r="G12" s="26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6.5" customHeight="1">
      <c r="A13" s="70" t="s">
        <v>34</v>
      </c>
      <c r="B13" s="70" t="s">
        <v>28</v>
      </c>
      <c r="C13" s="71">
        <v>1</v>
      </c>
      <c r="D13" s="72">
        <v>155</v>
      </c>
      <c r="E13" s="73">
        <v>400</v>
      </c>
      <c r="F13" s="66" t="s">
        <v>74</v>
      </c>
      <c r="G13" s="26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6.5" customHeight="1">
      <c r="A14" s="100" t="s">
        <v>34</v>
      </c>
      <c r="B14" s="100" t="s">
        <v>28</v>
      </c>
      <c r="C14" s="64">
        <v>1</v>
      </c>
      <c r="D14" s="65">
        <v>155</v>
      </c>
      <c r="E14" s="66">
        <v>350</v>
      </c>
      <c r="F14" s="66" t="s">
        <v>75</v>
      </c>
      <c r="G14" s="26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6.5" customHeight="1">
      <c r="A15" s="80" t="s">
        <v>34</v>
      </c>
      <c r="B15" s="80" t="s">
        <v>28</v>
      </c>
      <c r="C15" s="71">
        <v>1</v>
      </c>
      <c r="D15" s="72">
        <v>155</v>
      </c>
      <c r="E15" s="73">
        <v>350</v>
      </c>
      <c r="F15" s="66" t="s">
        <v>75</v>
      </c>
      <c r="G15" s="26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6.5" customHeight="1">
      <c r="A16" s="70" t="s">
        <v>31</v>
      </c>
      <c r="B16" s="70" t="s">
        <v>32</v>
      </c>
      <c r="C16" s="71">
        <v>1</v>
      </c>
      <c r="D16" s="72">
        <v>550</v>
      </c>
      <c r="E16" s="73">
        <v>1500</v>
      </c>
      <c r="F16" s="66" t="s">
        <v>76</v>
      </c>
      <c r="G16" s="26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6.5" customHeight="1">
      <c r="A17" s="63" t="s">
        <v>46</v>
      </c>
      <c r="B17" s="63" t="s">
        <v>47</v>
      </c>
      <c r="C17" s="64">
        <v>1</v>
      </c>
      <c r="D17" s="65">
        <v>110</v>
      </c>
      <c r="E17" s="66">
        <v>180</v>
      </c>
      <c r="F17" s="66" t="s">
        <v>77</v>
      </c>
      <c r="G17" s="2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6.5" customHeight="1">
      <c r="A18" s="70" t="s">
        <v>27</v>
      </c>
      <c r="B18" s="70" t="s">
        <v>29</v>
      </c>
      <c r="C18" s="71">
        <v>1</v>
      </c>
      <c r="D18" s="72">
        <v>620</v>
      </c>
      <c r="E18" s="73">
        <v>940</v>
      </c>
      <c r="F18" s="66" t="s">
        <v>71</v>
      </c>
      <c r="G18" s="26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6.5" customHeight="1">
      <c r="A19" s="70" t="s">
        <v>27</v>
      </c>
      <c r="B19" s="70" t="s">
        <v>28</v>
      </c>
      <c r="C19" s="64">
        <v>1</v>
      </c>
      <c r="D19" s="65">
        <v>620</v>
      </c>
      <c r="E19" s="66">
        <v>940</v>
      </c>
      <c r="F19" s="66" t="s">
        <v>71</v>
      </c>
      <c r="G19" s="26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6.5" customHeight="1">
      <c r="A20" s="70" t="s">
        <v>27</v>
      </c>
      <c r="B20" s="80" t="s">
        <v>30</v>
      </c>
      <c r="C20" s="71">
        <v>1</v>
      </c>
      <c r="D20" s="72">
        <v>620</v>
      </c>
      <c r="E20" s="73">
        <v>1450</v>
      </c>
      <c r="F20" s="66" t="s">
        <v>78</v>
      </c>
      <c r="G20" s="26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6.5" customHeight="1">
      <c r="A21" s="70" t="s">
        <v>27</v>
      </c>
      <c r="B21" s="63" t="s">
        <v>30</v>
      </c>
      <c r="C21" s="64">
        <v>1</v>
      </c>
      <c r="D21" s="65">
        <v>620</v>
      </c>
      <c r="E21" s="66">
        <v>1450</v>
      </c>
      <c r="F21" s="66" t="s">
        <v>78</v>
      </c>
      <c r="G21" s="26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.5" customHeight="1">
      <c r="A22" s="80" t="s">
        <v>79</v>
      </c>
      <c r="B22" s="80" t="s">
        <v>37</v>
      </c>
      <c r="C22" s="71">
        <v>1</v>
      </c>
      <c r="D22" s="72">
        <v>580</v>
      </c>
      <c r="E22" s="73">
        <v>1100</v>
      </c>
      <c r="F22" s="66" t="s">
        <v>80</v>
      </c>
      <c r="G22" s="26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6.5" customHeight="1">
      <c r="A23" s="63" t="s">
        <v>79</v>
      </c>
      <c r="B23" s="100" t="s">
        <v>37</v>
      </c>
      <c r="C23" s="64">
        <v>1</v>
      </c>
      <c r="D23" s="65">
        <v>580</v>
      </c>
      <c r="E23" s="66">
        <v>780</v>
      </c>
      <c r="F23" s="66" t="s">
        <v>81</v>
      </c>
      <c r="G23" s="26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6.5" customHeight="1">
      <c r="A24" s="70" t="s">
        <v>79</v>
      </c>
      <c r="B24" s="80" t="s">
        <v>37</v>
      </c>
      <c r="C24" s="71">
        <v>1</v>
      </c>
      <c r="D24" s="72">
        <v>580</v>
      </c>
      <c r="E24" s="73">
        <v>780</v>
      </c>
      <c r="F24" s="66" t="s">
        <v>81</v>
      </c>
      <c r="G24" s="26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6.5" customHeight="1">
      <c r="A25" s="63" t="s">
        <v>27</v>
      </c>
      <c r="B25" s="100" t="s">
        <v>28</v>
      </c>
      <c r="C25" s="64">
        <v>1</v>
      </c>
      <c r="D25" s="65">
        <v>620</v>
      </c>
      <c r="E25" s="66">
        <v>900</v>
      </c>
      <c r="F25" s="66" t="s">
        <v>82</v>
      </c>
      <c r="G25" s="26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6.5" customHeight="1">
      <c r="A26" s="70" t="s">
        <v>27</v>
      </c>
      <c r="B26" s="70" t="s">
        <v>30</v>
      </c>
      <c r="C26" s="71">
        <v>1</v>
      </c>
      <c r="D26" s="72">
        <v>620</v>
      </c>
      <c r="E26" s="73">
        <v>1300</v>
      </c>
      <c r="F26" s="66" t="s">
        <v>82</v>
      </c>
      <c r="G26" s="26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6.5" customHeight="1">
      <c r="A27" s="63" t="s">
        <v>79</v>
      </c>
      <c r="B27" s="63" t="s">
        <v>37</v>
      </c>
      <c r="C27" s="64">
        <v>8</v>
      </c>
      <c r="D27" s="65">
        <v>4640</v>
      </c>
      <c r="E27" s="66">
        <v>8800</v>
      </c>
      <c r="F27" s="66" t="s">
        <v>80</v>
      </c>
      <c r="G27" s="2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6.5" customHeight="1">
      <c r="A28" s="70" t="s">
        <v>83</v>
      </c>
      <c r="B28" s="70" t="s">
        <v>28</v>
      </c>
      <c r="C28" s="71">
        <v>1</v>
      </c>
      <c r="D28" s="72">
        <v>620</v>
      </c>
      <c r="E28" s="73">
        <v>1600</v>
      </c>
      <c r="F28" s="66" t="s">
        <v>84</v>
      </c>
      <c r="G28" s="26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6.5" customHeight="1">
      <c r="A29" s="100" t="s">
        <v>34</v>
      </c>
      <c r="B29" s="100" t="s">
        <v>28</v>
      </c>
      <c r="C29" s="64">
        <v>1</v>
      </c>
      <c r="D29" s="65">
        <v>155</v>
      </c>
      <c r="E29" s="66">
        <v>300</v>
      </c>
      <c r="F29" s="66" t="s">
        <v>85</v>
      </c>
      <c r="G29" s="26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6.5" customHeight="1">
      <c r="A30" s="80" t="s">
        <v>34</v>
      </c>
      <c r="B30" s="80" t="s">
        <v>28</v>
      </c>
      <c r="C30" s="71">
        <v>2</v>
      </c>
      <c r="D30" s="72">
        <v>310</v>
      </c>
      <c r="E30" s="73">
        <v>800</v>
      </c>
      <c r="F30" s="66" t="s">
        <v>86</v>
      </c>
      <c r="G30" s="2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6.5" customHeight="1">
      <c r="A31" s="100" t="s">
        <v>87</v>
      </c>
      <c r="B31" s="100" t="s">
        <v>28</v>
      </c>
      <c r="C31" s="64">
        <v>1</v>
      </c>
      <c r="D31" s="65">
        <v>620</v>
      </c>
      <c r="E31" s="66">
        <v>850</v>
      </c>
      <c r="F31" s="66" t="s">
        <v>71</v>
      </c>
      <c r="G31" s="26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6.5" customHeight="1">
      <c r="A32" s="80" t="s">
        <v>27</v>
      </c>
      <c r="B32" s="80" t="s">
        <v>30</v>
      </c>
      <c r="C32" s="71">
        <v>1</v>
      </c>
      <c r="D32" s="72">
        <v>620</v>
      </c>
      <c r="E32" s="73">
        <v>800</v>
      </c>
      <c r="F32" s="66" t="s">
        <v>88</v>
      </c>
      <c r="G32" s="26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6.5" customHeight="1">
      <c r="A33" s="63" t="s">
        <v>27</v>
      </c>
      <c r="B33" s="63" t="s">
        <v>29</v>
      </c>
      <c r="C33" s="64">
        <v>1</v>
      </c>
      <c r="D33" s="65">
        <v>620</v>
      </c>
      <c r="E33" s="66">
        <v>1000</v>
      </c>
      <c r="F33" s="66" t="s">
        <v>89</v>
      </c>
      <c r="G33" s="26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6.5" customHeight="1">
      <c r="A34" s="70" t="s">
        <v>53</v>
      </c>
      <c r="B34" s="70" t="s">
        <v>54</v>
      </c>
      <c r="C34" s="71">
        <v>1</v>
      </c>
      <c r="D34" s="72">
        <v>300</v>
      </c>
      <c r="E34" s="73">
        <v>450</v>
      </c>
      <c r="F34" s="66" t="s">
        <v>90</v>
      </c>
      <c r="G34" s="2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6.5" customHeight="1">
      <c r="A35" s="63" t="s">
        <v>34</v>
      </c>
      <c r="B35" s="63" t="s">
        <v>28</v>
      </c>
      <c r="C35" s="64">
        <v>1</v>
      </c>
      <c r="D35" s="65">
        <v>155</v>
      </c>
      <c r="E35" s="66">
        <v>300</v>
      </c>
      <c r="F35" s="66" t="s">
        <v>91</v>
      </c>
      <c r="G35" s="26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6.5" customHeight="1">
      <c r="A36" s="70" t="s">
        <v>79</v>
      </c>
      <c r="B36" s="70" t="s">
        <v>37</v>
      </c>
      <c r="C36" s="71">
        <v>10</v>
      </c>
      <c r="D36" s="72">
        <v>6300</v>
      </c>
      <c r="E36" s="73">
        <v>9000</v>
      </c>
      <c r="F36" s="66" t="s">
        <v>92</v>
      </c>
      <c r="G36" s="26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6.5" customHeight="1">
      <c r="A37" s="63" t="s">
        <v>93</v>
      </c>
      <c r="B37" s="63" t="s">
        <v>28</v>
      </c>
      <c r="C37" s="64">
        <v>2</v>
      </c>
      <c r="D37" s="65">
        <v>1240</v>
      </c>
      <c r="E37" s="66">
        <v>2000</v>
      </c>
      <c r="F37" s="66" t="s">
        <v>94</v>
      </c>
      <c r="G37" s="2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6.5" customHeight="1">
      <c r="A38" s="80" t="s">
        <v>27</v>
      </c>
      <c r="B38" s="80" t="s">
        <v>28</v>
      </c>
      <c r="C38" s="71">
        <v>1</v>
      </c>
      <c r="D38" s="72">
        <v>620</v>
      </c>
      <c r="E38" s="73">
        <v>900</v>
      </c>
      <c r="F38" s="66" t="s">
        <v>95</v>
      </c>
      <c r="G38" s="26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6.5" customHeight="1">
      <c r="A39" s="100" t="s">
        <v>27</v>
      </c>
      <c r="B39" s="100" t="s">
        <v>29</v>
      </c>
      <c r="C39" s="64">
        <v>2</v>
      </c>
      <c r="D39" s="65">
        <v>1240</v>
      </c>
      <c r="E39" s="66">
        <v>1680</v>
      </c>
      <c r="F39" s="66" t="s">
        <v>71</v>
      </c>
      <c r="G39" s="2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6.5" customHeight="1">
      <c r="A40" s="63"/>
      <c r="B40" s="63"/>
      <c r="C40" s="64"/>
      <c r="D40" s="65"/>
      <c r="E40" s="66"/>
      <c r="F40" s="68">
        <f>SUM(D2:D43)</f>
        <v>29031</v>
      </c>
      <c r="G40" s="6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6.5" customHeight="1">
      <c r="A41" s="70"/>
      <c r="B41" s="70"/>
      <c r="C41" s="71"/>
      <c r="D41" s="72"/>
      <c r="E41" s="73"/>
      <c r="F41" s="45">
        <f>SUM(E2:E43)</f>
        <v>48750</v>
      </c>
      <c r="G41" s="75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6.5" customHeight="1">
      <c r="A42" s="63"/>
      <c r="B42" s="63"/>
      <c r="C42" s="64"/>
      <c r="D42" s="65"/>
      <c r="E42" s="66"/>
      <c r="F42" s="121" t="s">
        <v>96</v>
      </c>
      <c r="G42" s="48">
        <f t="array" ref="G42">F41-F40</f>
        <v>19719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6.5" customHeight="1">
      <c r="A43" s="80"/>
      <c r="B43" s="80"/>
      <c r="C43" s="71"/>
      <c r="D43" s="72"/>
      <c r="E43" s="73"/>
      <c r="F43" s="123" t="s">
        <v>97</v>
      </c>
      <c r="G43" s="82">
        <f>SUM(C2:C43)</f>
        <v>58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6.5" customHeight="1">
      <c r="A44" s="63"/>
      <c r="B44" s="63"/>
      <c r="C44" s="64"/>
      <c r="D44" s="65"/>
      <c r="E44" s="66"/>
      <c r="F44" s="92"/>
      <c r="G44" s="8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6.5" customHeight="1">
      <c r="A45" s="63" t="s">
        <v>27</v>
      </c>
      <c r="B45" s="63" t="s">
        <v>28</v>
      </c>
      <c r="C45" s="64">
        <v>1</v>
      </c>
      <c r="D45" s="65">
        <v>620</v>
      </c>
      <c r="E45" s="66">
        <v>988</v>
      </c>
      <c r="F45" s="58" t="s">
        <v>98</v>
      </c>
      <c r="G45" s="86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6.5" customHeight="1">
      <c r="A46" s="70" t="s">
        <v>27</v>
      </c>
      <c r="B46" s="70" t="s">
        <v>29</v>
      </c>
      <c r="C46" s="71">
        <v>2</v>
      </c>
      <c r="D46" s="72">
        <v>1240</v>
      </c>
      <c r="E46" s="73">
        <v>1680</v>
      </c>
      <c r="F46" s="58" t="s">
        <v>71</v>
      </c>
      <c r="G46" s="26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6.5" customHeight="1">
      <c r="A47" s="63" t="s">
        <v>69</v>
      </c>
      <c r="B47" s="63" t="s">
        <v>99</v>
      </c>
      <c r="C47" s="64">
        <v>1</v>
      </c>
      <c r="D47" s="65">
        <v>580</v>
      </c>
      <c r="E47" s="66">
        <v>1200</v>
      </c>
      <c r="F47" s="92" t="s">
        <v>100</v>
      </c>
      <c r="G47" s="26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6.5" customHeight="1">
      <c r="A48" s="70" t="s">
        <v>69</v>
      </c>
      <c r="B48" s="70" t="s">
        <v>99</v>
      </c>
      <c r="C48" s="71">
        <v>1</v>
      </c>
      <c r="D48" s="72">
        <v>580</v>
      </c>
      <c r="E48" s="73">
        <v>1400</v>
      </c>
      <c r="F48" s="92" t="s">
        <v>101</v>
      </c>
      <c r="G48" s="2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6.5" customHeight="1">
      <c r="A49" s="100" t="s">
        <v>27</v>
      </c>
      <c r="B49" s="100" t="s">
        <v>102</v>
      </c>
      <c r="C49" s="64">
        <v>1</v>
      </c>
      <c r="D49" s="65">
        <v>620</v>
      </c>
      <c r="E49" s="66">
        <v>800</v>
      </c>
      <c r="F49" s="92" t="s">
        <v>103</v>
      </c>
      <c r="G49" s="26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6.5" customHeight="1">
      <c r="A50" s="70" t="s">
        <v>31</v>
      </c>
      <c r="B50" s="70" t="s">
        <v>99</v>
      </c>
      <c r="C50" s="71">
        <v>1</v>
      </c>
      <c r="D50" s="72">
        <v>580</v>
      </c>
      <c r="E50" s="73">
        <v>800</v>
      </c>
      <c r="F50" s="92" t="s">
        <v>104</v>
      </c>
      <c r="G50" s="26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6.5" customHeight="1">
      <c r="A51" s="63" t="s">
        <v>34</v>
      </c>
      <c r="B51" s="63" t="s">
        <v>28</v>
      </c>
      <c r="C51" s="64">
        <v>1</v>
      </c>
      <c r="D51" s="65">
        <v>155</v>
      </c>
      <c r="E51" s="66">
        <v>400</v>
      </c>
      <c r="F51" s="92" t="s">
        <v>105</v>
      </c>
      <c r="G51" s="2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6.5" customHeight="1">
      <c r="A52" s="70" t="s">
        <v>34</v>
      </c>
      <c r="B52" s="70" t="s">
        <v>28</v>
      </c>
      <c r="C52" s="71">
        <v>1</v>
      </c>
      <c r="D52" s="72">
        <v>155</v>
      </c>
      <c r="E52" s="73">
        <v>300</v>
      </c>
      <c r="F52" s="92" t="s">
        <v>106</v>
      </c>
      <c r="G52" s="2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6.5" customHeight="1">
      <c r="A53" s="63" t="s">
        <v>34</v>
      </c>
      <c r="B53" s="63" t="s">
        <v>28</v>
      </c>
      <c r="C53" s="64">
        <v>1</v>
      </c>
      <c r="D53" s="65">
        <v>155</v>
      </c>
      <c r="E53" s="66">
        <v>400</v>
      </c>
      <c r="F53" s="92" t="s">
        <v>107</v>
      </c>
      <c r="G53" s="26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6.5" customHeight="1">
      <c r="A54" s="70" t="s">
        <v>27</v>
      </c>
      <c r="B54" s="70" t="s">
        <v>28</v>
      </c>
      <c r="C54" s="71">
        <v>1</v>
      </c>
      <c r="D54" s="72">
        <v>620</v>
      </c>
      <c r="E54" s="73">
        <v>900</v>
      </c>
      <c r="F54" s="92" t="s">
        <v>108</v>
      </c>
      <c r="G54" s="26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6.5" customHeight="1">
      <c r="A55" s="63" t="s">
        <v>79</v>
      </c>
      <c r="B55" s="63" t="s">
        <v>37</v>
      </c>
      <c r="C55" s="64">
        <v>1</v>
      </c>
      <c r="D55" s="65">
        <v>630</v>
      </c>
      <c r="E55" s="66">
        <v>1000</v>
      </c>
      <c r="F55" s="92" t="s">
        <v>109</v>
      </c>
      <c r="G55" s="26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6.5" customHeight="1">
      <c r="A56" s="80"/>
      <c r="B56" s="80"/>
      <c r="C56" s="71"/>
      <c r="D56" s="72"/>
      <c r="E56" s="73"/>
      <c r="F56" s="92"/>
      <c r="G56" s="26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6.5" customHeight="1">
      <c r="A57" s="63"/>
      <c r="B57" s="63"/>
      <c r="C57" s="64"/>
      <c r="D57" s="65"/>
      <c r="E57" s="66"/>
      <c r="F57" s="92"/>
      <c r="G57" s="26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6.5" customHeight="1">
      <c r="A58" s="80"/>
      <c r="B58" s="80"/>
      <c r="C58" s="71"/>
      <c r="D58" s="72"/>
      <c r="E58" s="73"/>
      <c r="F58" s="92"/>
      <c r="G58" s="26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6.5" customHeight="1">
      <c r="A59" s="63"/>
      <c r="B59" s="63"/>
      <c r="C59" s="64"/>
      <c r="D59" s="65"/>
      <c r="E59" s="66"/>
      <c r="F59" s="92"/>
      <c r="G59" s="26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6.5" customHeight="1">
      <c r="A60" s="70"/>
      <c r="B60" s="70"/>
      <c r="C60" s="71"/>
      <c r="D60" s="72"/>
      <c r="E60" s="73"/>
      <c r="F60" s="92"/>
      <c r="G60" s="26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6.5" customHeight="1">
      <c r="A61" s="63"/>
      <c r="B61" s="63"/>
      <c r="C61" s="64"/>
      <c r="D61" s="65"/>
      <c r="E61" s="66"/>
      <c r="F61" s="92"/>
      <c r="G61" s="26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6.5" customHeight="1">
      <c r="A62" s="70"/>
      <c r="B62" s="70"/>
      <c r="C62" s="71"/>
      <c r="D62" s="72"/>
      <c r="E62" s="73"/>
      <c r="F62" s="92"/>
      <c r="G62" s="26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6.5" customHeight="1">
      <c r="A63" s="63"/>
      <c r="B63" s="63"/>
      <c r="C63" s="64"/>
      <c r="D63" s="65"/>
      <c r="E63" s="66"/>
      <c r="F63" s="92"/>
      <c r="G63" s="26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6.5" customHeight="1">
      <c r="A64" s="70"/>
      <c r="B64" s="70"/>
      <c r="C64" s="71"/>
      <c r="D64" s="72"/>
      <c r="E64" s="73"/>
      <c r="F64" s="87"/>
      <c r="G64" s="26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6.5" customHeight="1">
      <c r="A65" s="63"/>
      <c r="B65" s="63"/>
      <c r="C65" s="64"/>
      <c r="D65" s="65"/>
      <c r="E65" s="66"/>
      <c r="F65" s="87"/>
      <c r="G65" s="26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6.5" customHeight="1">
      <c r="A66" s="70"/>
      <c r="B66" s="70"/>
      <c r="C66" s="71"/>
      <c r="D66" s="72"/>
      <c r="E66" s="73"/>
      <c r="F66" s="87"/>
      <c r="G66" s="26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6.5" customHeight="1">
      <c r="A67" s="63"/>
      <c r="B67" s="63"/>
      <c r="C67" s="64"/>
      <c r="D67" s="65"/>
      <c r="E67" s="66"/>
      <c r="F67" s="87"/>
      <c r="G67" s="26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6.5" customHeight="1">
      <c r="A68" s="70"/>
      <c r="B68" s="70"/>
      <c r="C68" s="71"/>
      <c r="D68" s="72"/>
      <c r="E68" s="73"/>
      <c r="F68" s="87"/>
      <c r="G68" s="2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6.5" customHeight="1">
      <c r="A69" s="63"/>
      <c r="B69" s="63"/>
      <c r="C69" s="64"/>
      <c r="D69" s="65"/>
      <c r="E69" s="66"/>
      <c r="F69" s="87"/>
      <c r="G69" s="26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6.5" customHeight="1">
      <c r="A70" s="70"/>
      <c r="B70" s="70"/>
      <c r="C70" s="71"/>
      <c r="D70" s="72"/>
      <c r="E70" s="73"/>
      <c r="F70" s="87"/>
      <c r="G70" s="26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6.5" customHeight="1">
      <c r="A71" s="63"/>
      <c r="B71" s="63"/>
      <c r="C71" s="64"/>
      <c r="D71" s="65"/>
      <c r="E71" s="66"/>
      <c r="F71" s="87"/>
      <c r="G71" s="26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6.5" customHeight="1">
      <c r="A72" s="70"/>
      <c r="B72" s="70"/>
      <c r="C72" s="71"/>
      <c r="D72" s="72"/>
      <c r="E72" s="73"/>
      <c r="F72" s="87"/>
      <c r="G72" s="26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6.5" customHeight="1">
      <c r="A73" s="63"/>
      <c r="B73" s="63"/>
      <c r="C73" s="64"/>
      <c r="D73" s="65"/>
      <c r="E73" s="66"/>
      <c r="F73" s="87"/>
      <c r="G73" s="26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6.5" customHeight="1">
      <c r="A74" s="80"/>
      <c r="B74" s="80"/>
      <c r="C74" s="71"/>
      <c r="D74" s="72"/>
      <c r="E74" s="73"/>
      <c r="F74" s="87"/>
      <c r="G74" s="26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6.5" customHeight="1">
      <c r="A75" s="100"/>
      <c r="B75" s="63"/>
      <c r="C75" s="64"/>
      <c r="D75" s="65"/>
      <c r="E75" s="66"/>
      <c r="F75" s="87"/>
      <c r="G75" s="26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6.5" customHeight="1">
      <c r="A76" s="80"/>
      <c r="B76" s="80"/>
      <c r="C76" s="71"/>
      <c r="D76" s="72"/>
      <c r="E76" s="73"/>
      <c r="F76" s="87"/>
      <c r="G76" s="26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6.5" customHeight="1">
      <c r="A77" s="63"/>
      <c r="B77" s="63"/>
      <c r="C77" s="64"/>
      <c r="D77" s="65"/>
      <c r="E77" s="66"/>
      <c r="F77" s="87"/>
      <c r="G77" s="26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6.5" customHeight="1">
      <c r="A78" s="70"/>
      <c r="B78" s="70"/>
      <c r="C78" s="71"/>
      <c r="D78" s="72"/>
      <c r="E78" s="73"/>
      <c r="F78" s="87"/>
      <c r="G78" s="26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6.5" customHeight="1">
      <c r="A79" s="63"/>
      <c r="B79" s="63"/>
      <c r="C79" s="64"/>
      <c r="D79" s="65"/>
      <c r="E79" s="66"/>
      <c r="F79" s="87"/>
      <c r="G79" s="26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6.5" customHeight="1">
      <c r="A80" s="70"/>
      <c r="B80" s="70"/>
      <c r="C80" s="71"/>
      <c r="D80" s="72"/>
      <c r="E80" s="73"/>
      <c r="F80" s="87"/>
      <c r="G80" s="26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6.5" customHeight="1">
      <c r="A81" s="63"/>
      <c r="B81" s="63"/>
      <c r="C81" s="64"/>
      <c r="D81" s="65"/>
      <c r="E81" s="66"/>
      <c r="F81" s="87"/>
      <c r="G81" s="26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6.5" customHeight="1">
      <c r="A82" s="80"/>
      <c r="B82" s="80"/>
      <c r="C82" s="71"/>
      <c r="D82" s="72"/>
      <c r="E82" s="73"/>
      <c r="F82" s="87"/>
      <c r="G82" s="26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6.5" customHeight="1">
      <c r="A83" s="63"/>
      <c r="B83" s="63"/>
      <c r="C83" s="64"/>
      <c r="D83" s="65"/>
      <c r="E83" s="66"/>
      <c r="F83" s="87"/>
      <c r="G83" s="2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6.5" customHeight="1">
      <c r="A84" s="70"/>
      <c r="B84" s="70"/>
      <c r="C84" s="71"/>
      <c r="D84" s="72"/>
      <c r="E84" s="73"/>
      <c r="F84" s="87"/>
      <c r="G84" s="26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6.5" customHeight="1">
      <c r="A85" s="63"/>
      <c r="B85" s="63"/>
      <c r="C85" s="64"/>
      <c r="D85" s="65"/>
      <c r="E85" s="66"/>
      <c r="F85" s="87"/>
      <c r="G85" s="26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6.5" customHeight="1">
      <c r="A86" s="70"/>
      <c r="B86" s="70"/>
      <c r="C86" s="71"/>
      <c r="D86" s="72"/>
      <c r="E86" s="73"/>
      <c r="F86" s="87"/>
      <c r="G86" s="26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6.5" customHeight="1">
      <c r="A87" s="63"/>
      <c r="B87" s="63"/>
      <c r="C87" s="64"/>
      <c r="D87" s="65"/>
      <c r="E87" s="66"/>
      <c r="F87" s="87"/>
      <c r="G87" s="26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6.5" customHeight="1">
      <c r="A88" s="70"/>
      <c r="B88" s="70"/>
      <c r="C88" s="71"/>
      <c r="D88" s="72"/>
      <c r="E88" s="73"/>
      <c r="F88" s="104"/>
      <c r="G88" s="26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6.5" customHeight="1">
      <c r="A89" s="63"/>
      <c r="B89" s="63"/>
      <c r="C89" s="64"/>
      <c r="D89" s="65"/>
      <c r="E89" s="66"/>
      <c r="F89" s="68">
        <f t="array" ref="F89">SUM(D45:D92)</f>
        <v>5935</v>
      </c>
      <c r="G89" s="6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6.5" customHeight="1">
      <c r="A90" s="70"/>
      <c r="B90" s="70"/>
      <c r="C90" s="71"/>
      <c r="D90" s="72"/>
      <c r="E90" s="73"/>
      <c r="F90" s="45">
        <f t="array" ref="F90">SUM(E45:E92)</f>
        <v>9868</v>
      </c>
      <c r="G90" s="7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6.5" customHeight="1">
      <c r="A91" s="100"/>
      <c r="B91" s="100"/>
      <c r="C91" s="64"/>
      <c r="D91" s="65"/>
      <c r="E91" s="66"/>
      <c r="F91" s="121" t="s">
        <v>110</v>
      </c>
      <c r="G91" s="48">
        <f t="array" ref="G91">F90-F89</f>
        <v>3933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6.5" customHeight="1">
      <c r="A92" s="80"/>
      <c r="B92" s="80"/>
      <c r="C92" s="71"/>
      <c r="D92" s="72"/>
      <c r="E92" s="73"/>
      <c r="F92" s="123" t="s">
        <v>111</v>
      </c>
      <c r="G92" s="107">
        <f t="array" ref="G92">SUM(C45:C92)</f>
        <v>12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6.5" customHeight="1">
      <c r="A93" s="63"/>
      <c r="B93" s="63"/>
      <c r="C93" s="64"/>
      <c r="D93" s="65"/>
      <c r="E93" s="66"/>
      <c r="F93" s="92"/>
      <c r="G93" s="86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6.5" customHeight="1">
      <c r="A94" s="70"/>
      <c r="B94" s="70"/>
      <c r="C94" s="71"/>
      <c r="D94" s="72"/>
      <c r="E94" s="73"/>
      <c r="F94" s="87"/>
      <c r="G94" s="26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6.5" customHeight="1">
      <c r="A95" s="63"/>
      <c r="B95" s="63"/>
      <c r="C95" s="64"/>
      <c r="D95" s="65"/>
      <c r="E95" s="66"/>
      <c r="F95" s="87"/>
      <c r="G95" s="26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6.5" customHeight="1">
      <c r="A96" s="70"/>
      <c r="B96" s="70"/>
      <c r="C96" s="71"/>
      <c r="D96" s="72"/>
      <c r="E96" s="73"/>
      <c r="F96" s="87"/>
      <c r="G96" s="26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6.5" customHeight="1">
      <c r="A97" s="63"/>
      <c r="B97" s="63"/>
      <c r="C97" s="64"/>
      <c r="D97" s="65"/>
      <c r="E97" s="66"/>
      <c r="F97" s="87"/>
      <c r="G97" s="26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6.5" customHeight="1">
      <c r="A98" s="80"/>
      <c r="B98" s="80"/>
      <c r="C98" s="71"/>
      <c r="D98" s="72"/>
      <c r="E98" s="73"/>
      <c r="F98" s="87"/>
      <c r="G98" s="26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6.5" customHeight="1">
      <c r="A99" s="63"/>
      <c r="B99" s="63"/>
      <c r="C99" s="64"/>
      <c r="D99" s="65"/>
      <c r="E99" s="66"/>
      <c r="F99" s="87"/>
      <c r="G99" s="26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6.5" customHeight="1">
      <c r="A100" s="70"/>
      <c r="B100" s="70"/>
      <c r="C100" s="71"/>
      <c r="D100" s="72"/>
      <c r="E100" s="73"/>
      <c r="F100" s="87"/>
      <c r="G100" s="2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6.5" customHeight="1">
      <c r="A101" s="63"/>
      <c r="B101" s="63"/>
      <c r="C101" s="64"/>
      <c r="D101" s="65"/>
      <c r="E101" s="66"/>
      <c r="F101" s="87"/>
      <c r="G101" s="26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6.5" customHeight="1">
      <c r="A102" s="70"/>
      <c r="B102" s="70"/>
      <c r="C102" s="71"/>
      <c r="D102" s="72"/>
      <c r="E102" s="73"/>
      <c r="F102" s="87"/>
      <c r="G102" s="26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6.5" customHeight="1">
      <c r="A103" s="100"/>
      <c r="B103" s="100"/>
      <c r="C103" s="64"/>
      <c r="D103" s="65"/>
      <c r="E103" s="66"/>
      <c r="F103" s="87"/>
      <c r="G103" s="26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6.5" customHeight="1">
      <c r="A104" s="70"/>
      <c r="B104" s="70"/>
      <c r="C104" s="71"/>
      <c r="D104" s="72"/>
      <c r="E104" s="73"/>
      <c r="F104" s="87"/>
      <c r="G104" s="26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6.5" customHeight="1">
      <c r="A105" s="63"/>
      <c r="B105" s="63"/>
      <c r="C105" s="64"/>
      <c r="D105" s="65"/>
      <c r="E105" s="66"/>
      <c r="F105" s="87"/>
      <c r="G105" s="26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6.5" customHeight="1">
      <c r="A106" s="70"/>
      <c r="B106" s="70"/>
      <c r="C106" s="71"/>
      <c r="D106" s="72"/>
      <c r="E106" s="73"/>
      <c r="F106" s="87"/>
      <c r="G106" s="2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6.5" customHeight="1">
      <c r="A107" s="63"/>
      <c r="B107" s="63"/>
      <c r="C107" s="64"/>
      <c r="D107" s="65"/>
      <c r="E107" s="66"/>
      <c r="F107" s="87"/>
      <c r="G107" s="2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6.5" customHeight="1">
      <c r="A108" s="80"/>
      <c r="B108" s="80"/>
      <c r="C108" s="71"/>
      <c r="D108" s="72"/>
      <c r="E108" s="73"/>
      <c r="F108" s="87"/>
      <c r="G108" s="26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6.5" customHeight="1">
      <c r="A109" s="63"/>
      <c r="B109" s="63"/>
      <c r="C109" s="64"/>
      <c r="D109" s="65"/>
      <c r="E109" s="66"/>
      <c r="F109" s="87"/>
      <c r="G109" s="26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6.5" customHeight="1">
      <c r="A110" s="70"/>
      <c r="B110" s="70"/>
      <c r="C110" s="71"/>
      <c r="D110" s="72"/>
      <c r="E110" s="73"/>
      <c r="F110" s="87"/>
      <c r="G110" s="2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6.5" customHeight="1">
      <c r="A111" s="63"/>
      <c r="B111" s="63"/>
      <c r="C111" s="64"/>
      <c r="D111" s="65"/>
      <c r="E111" s="66"/>
      <c r="F111" s="87"/>
      <c r="G111" s="2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6.5" customHeight="1">
      <c r="A112" s="80"/>
      <c r="B112" s="80"/>
      <c r="C112" s="71"/>
      <c r="D112" s="72"/>
      <c r="E112" s="73"/>
      <c r="F112" s="87"/>
      <c r="G112" s="2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6.5" customHeight="1">
      <c r="A113" s="63"/>
      <c r="B113" s="63"/>
      <c r="C113" s="64"/>
      <c r="D113" s="65"/>
      <c r="E113" s="66"/>
      <c r="F113" s="87"/>
      <c r="G113" s="2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6.5" customHeight="1">
      <c r="A114" s="70"/>
      <c r="B114" s="70"/>
      <c r="C114" s="71"/>
      <c r="D114" s="72"/>
      <c r="E114" s="73"/>
      <c r="F114" s="87"/>
      <c r="G114" s="2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6.5" customHeight="1">
      <c r="A115" s="63"/>
      <c r="B115" s="63"/>
      <c r="C115" s="64"/>
      <c r="D115" s="65"/>
      <c r="E115" s="66"/>
      <c r="F115" s="87"/>
      <c r="G115" s="2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6.5" customHeight="1">
      <c r="A116" s="70"/>
      <c r="B116" s="70"/>
      <c r="C116" s="71"/>
      <c r="D116" s="72"/>
      <c r="E116" s="73"/>
      <c r="F116" s="87"/>
      <c r="G116" s="26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6.5" customHeight="1">
      <c r="A117" s="63"/>
      <c r="B117" s="63"/>
      <c r="C117" s="64"/>
      <c r="D117" s="65"/>
      <c r="E117" s="66"/>
      <c r="F117" s="87"/>
      <c r="G117" s="2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6.5" customHeight="1">
      <c r="A118" s="70"/>
      <c r="B118" s="70"/>
      <c r="C118" s="71"/>
      <c r="D118" s="72"/>
      <c r="E118" s="73"/>
      <c r="F118" s="87"/>
      <c r="G118" s="2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6.5" customHeight="1">
      <c r="A119" s="63"/>
      <c r="B119" s="63"/>
      <c r="C119" s="64"/>
      <c r="D119" s="65"/>
      <c r="E119" s="66"/>
      <c r="F119" s="87"/>
      <c r="G119" s="2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6.5" customHeight="1">
      <c r="A120" s="70"/>
      <c r="B120" s="70"/>
      <c r="C120" s="71"/>
      <c r="D120" s="72"/>
      <c r="E120" s="73"/>
      <c r="F120" s="87"/>
      <c r="G120" s="26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6.5" customHeight="1">
      <c r="A121" s="63"/>
      <c r="B121" s="63"/>
      <c r="C121" s="64"/>
      <c r="D121" s="65"/>
      <c r="E121" s="66"/>
      <c r="F121" s="87"/>
      <c r="G121" s="26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6.5" customHeight="1">
      <c r="A122" s="70"/>
      <c r="B122" s="70"/>
      <c r="C122" s="71"/>
      <c r="D122" s="72"/>
      <c r="E122" s="73"/>
      <c r="F122" s="87"/>
      <c r="G122" s="26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6.5" customHeight="1">
      <c r="A123" s="63"/>
      <c r="B123" s="63"/>
      <c r="C123" s="64"/>
      <c r="D123" s="65"/>
      <c r="E123" s="66"/>
      <c r="F123" s="87"/>
      <c r="G123" s="26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6.5" customHeight="1">
      <c r="A124" s="80"/>
      <c r="B124" s="80"/>
      <c r="C124" s="71"/>
      <c r="D124" s="72"/>
      <c r="E124" s="73"/>
      <c r="F124" s="87"/>
      <c r="G124" s="26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6.5" customHeight="1">
      <c r="A125" s="63"/>
      <c r="B125" s="63"/>
      <c r="C125" s="64"/>
      <c r="D125" s="65"/>
      <c r="E125" s="66"/>
      <c r="F125" s="87"/>
      <c r="G125" s="26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6.5" customHeight="1">
      <c r="A126" s="80"/>
      <c r="B126" s="80"/>
      <c r="C126" s="71"/>
      <c r="D126" s="72"/>
      <c r="E126" s="73"/>
      <c r="F126" s="87"/>
      <c r="G126" s="26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6.5" customHeight="1">
      <c r="A127" s="63"/>
      <c r="B127" s="63"/>
      <c r="C127" s="64"/>
      <c r="D127" s="65"/>
      <c r="E127" s="66"/>
      <c r="F127" s="87"/>
      <c r="G127" s="26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6.5" customHeight="1">
      <c r="A128" s="80"/>
      <c r="B128" s="80"/>
      <c r="C128" s="71"/>
      <c r="D128" s="72"/>
      <c r="E128" s="73"/>
      <c r="F128" s="87"/>
      <c r="G128" s="26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6.5" customHeight="1">
      <c r="A129" s="63"/>
      <c r="B129" s="63"/>
      <c r="C129" s="64"/>
      <c r="D129" s="65"/>
      <c r="E129" s="66"/>
      <c r="F129" s="87"/>
      <c r="G129" s="26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6.5" customHeight="1">
      <c r="A130" s="70"/>
      <c r="B130" s="70"/>
      <c r="C130" s="71"/>
      <c r="D130" s="72"/>
      <c r="E130" s="73"/>
      <c r="F130" s="87"/>
      <c r="G130" s="26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6.5" customHeight="1">
      <c r="A131" s="63"/>
      <c r="B131" s="63"/>
      <c r="C131" s="64"/>
      <c r="D131" s="65"/>
      <c r="E131" s="66"/>
      <c r="F131" s="87"/>
      <c r="G131" s="26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6.5" customHeight="1">
      <c r="A132" s="70"/>
      <c r="B132" s="70"/>
      <c r="C132" s="71"/>
      <c r="D132" s="72"/>
      <c r="E132" s="73"/>
      <c r="F132" s="87"/>
      <c r="G132" s="26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6.5" customHeight="1">
      <c r="A133" s="63"/>
      <c r="B133" s="63"/>
      <c r="C133" s="64"/>
      <c r="D133" s="65"/>
      <c r="E133" s="66"/>
      <c r="F133" s="87"/>
      <c r="G133" s="26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6.5" customHeight="1">
      <c r="A134" s="70"/>
      <c r="B134" s="70"/>
      <c r="C134" s="71"/>
      <c r="D134" s="72"/>
      <c r="E134" s="73"/>
      <c r="F134" s="87"/>
      <c r="G134" s="26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6.5" customHeight="1">
      <c r="A135" s="63"/>
      <c r="B135" s="63"/>
      <c r="C135" s="64"/>
      <c r="D135" s="65"/>
      <c r="E135" s="66"/>
      <c r="F135" s="87"/>
      <c r="G135" s="2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6.5" customHeight="1">
      <c r="A136" s="70"/>
      <c r="B136" s="70"/>
      <c r="C136" s="71"/>
      <c r="D136" s="72"/>
      <c r="E136" s="73"/>
      <c r="F136" s="87"/>
      <c r="G136" s="2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6.5" customHeight="1">
      <c r="A137" s="63"/>
      <c r="B137" s="63"/>
      <c r="C137" s="64"/>
      <c r="D137" s="65"/>
      <c r="E137" s="66"/>
      <c r="F137" s="87"/>
      <c r="G137" s="2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6.5" customHeight="1">
      <c r="A138" s="80"/>
      <c r="B138" s="80"/>
      <c r="C138" s="71"/>
      <c r="D138" s="72"/>
      <c r="E138" s="73"/>
      <c r="F138" s="87"/>
      <c r="G138" s="2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6.5" customHeight="1">
      <c r="A139" s="63"/>
      <c r="B139" s="63"/>
      <c r="C139" s="64"/>
      <c r="D139" s="65"/>
      <c r="E139" s="66"/>
      <c r="F139" s="87"/>
      <c r="G139" s="2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6.5" customHeight="1">
      <c r="A140" s="70"/>
      <c r="B140" s="70"/>
      <c r="C140" s="71"/>
      <c r="D140" s="72"/>
      <c r="E140" s="73"/>
      <c r="F140" s="87"/>
      <c r="G140" s="2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6.5" customHeight="1">
      <c r="A141" s="63"/>
      <c r="B141" s="63"/>
      <c r="C141" s="64"/>
      <c r="D141" s="65"/>
      <c r="E141" s="66"/>
      <c r="F141" s="87"/>
      <c r="G141" s="2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6.5" customHeight="1">
      <c r="A142" s="70"/>
      <c r="B142" s="70"/>
      <c r="C142" s="71"/>
      <c r="D142" s="72"/>
      <c r="E142" s="73"/>
      <c r="F142" s="87"/>
      <c r="G142" s="2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6.5" customHeight="1">
      <c r="A143" s="63"/>
      <c r="B143" s="63"/>
      <c r="C143" s="64"/>
      <c r="D143" s="65"/>
      <c r="E143" s="66"/>
      <c r="F143" s="87"/>
      <c r="G143" s="2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6.5" customHeight="1">
      <c r="A144" s="70"/>
      <c r="B144" s="70"/>
      <c r="C144" s="71"/>
      <c r="D144" s="72"/>
      <c r="E144" s="73"/>
      <c r="F144" s="87"/>
      <c r="G144" s="2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6.5" customHeight="1">
      <c r="A145" s="63"/>
      <c r="B145" s="63"/>
      <c r="C145" s="64"/>
      <c r="D145" s="65"/>
      <c r="E145" s="66"/>
      <c r="F145" s="87"/>
      <c r="G145" s="2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6.5" customHeight="1">
      <c r="A146" s="70"/>
      <c r="B146" s="70"/>
      <c r="C146" s="71"/>
      <c r="D146" s="72"/>
      <c r="E146" s="73"/>
      <c r="F146" s="87"/>
      <c r="G146" s="2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6.5" customHeight="1">
      <c r="A147" s="63"/>
      <c r="B147" s="63"/>
      <c r="C147" s="64"/>
      <c r="D147" s="65"/>
      <c r="E147" s="66"/>
      <c r="F147" s="87"/>
      <c r="G147" s="2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6.5" customHeight="1">
      <c r="A148" s="70"/>
      <c r="B148" s="70"/>
      <c r="C148" s="71"/>
      <c r="D148" s="72"/>
      <c r="E148" s="73"/>
      <c r="F148" s="87"/>
      <c r="G148" s="2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6.5" customHeight="1">
      <c r="A149" s="63"/>
      <c r="B149" s="63"/>
      <c r="C149" s="64"/>
      <c r="D149" s="65"/>
      <c r="E149" s="66"/>
      <c r="F149" s="87"/>
      <c r="G149" s="2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6.5" customHeight="1">
      <c r="A150" s="70"/>
      <c r="B150" s="70"/>
      <c r="C150" s="71"/>
      <c r="D150" s="72"/>
      <c r="E150" s="73"/>
      <c r="F150" s="87"/>
      <c r="G150" s="2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6.5" customHeight="1">
      <c r="A151" s="63"/>
      <c r="B151" s="63"/>
      <c r="C151" s="64"/>
      <c r="D151" s="65"/>
      <c r="E151" s="66"/>
      <c r="F151" s="87"/>
      <c r="G151" s="2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6.5" customHeight="1">
      <c r="A152" s="70"/>
      <c r="B152" s="70"/>
      <c r="C152" s="71"/>
      <c r="D152" s="72"/>
      <c r="E152" s="73"/>
      <c r="F152" s="87"/>
      <c r="G152" s="2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6.5" customHeight="1">
      <c r="A153" s="63"/>
      <c r="B153" s="63"/>
      <c r="C153" s="64"/>
      <c r="D153" s="65"/>
      <c r="E153" s="66"/>
      <c r="F153" s="87"/>
      <c r="G153" s="2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6.5" customHeight="1">
      <c r="A154" s="80"/>
      <c r="B154" s="80"/>
      <c r="C154" s="71"/>
      <c r="D154" s="72"/>
      <c r="E154" s="73"/>
      <c r="F154" s="87"/>
      <c r="G154" s="2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6.5" customHeight="1">
      <c r="A155" s="100"/>
      <c r="B155" s="100"/>
      <c r="C155" s="64"/>
      <c r="D155" s="65"/>
      <c r="E155" s="66"/>
      <c r="F155" s="87"/>
      <c r="G155" s="2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6.5" customHeight="1">
      <c r="A156" s="70"/>
      <c r="B156" s="70"/>
      <c r="C156" s="71"/>
      <c r="D156" s="72"/>
      <c r="E156" s="73"/>
      <c r="F156" s="87"/>
      <c r="G156" s="2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6.5" customHeight="1">
      <c r="A157" s="63"/>
      <c r="B157" s="63"/>
      <c r="C157" s="64"/>
      <c r="D157" s="65"/>
      <c r="E157" s="66"/>
      <c r="F157" s="87"/>
      <c r="G157" s="2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6.5" customHeight="1">
      <c r="A158" s="70"/>
      <c r="B158" s="70"/>
      <c r="C158" s="71"/>
      <c r="D158" s="72"/>
      <c r="E158" s="73"/>
      <c r="F158" s="87"/>
      <c r="G158" s="2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6.5" customHeight="1">
      <c r="A159" s="63"/>
      <c r="B159" s="63"/>
      <c r="C159" s="64"/>
      <c r="D159" s="65"/>
      <c r="E159" s="66"/>
      <c r="F159" s="104"/>
      <c r="G159" s="2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6.5" customHeight="1">
      <c r="A160" s="70"/>
      <c r="B160" s="70"/>
      <c r="C160" s="71"/>
      <c r="D160" s="72"/>
      <c r="E160" s="73"/>
      <c r="F160" s="68">
        <f t="array" ref="F160">SUM(D93:D163)</f>
        <v>0</v>
      </c>
      <c r="G160" s="6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6.5" customHeight="1">
      <c r="A161" s="63"/>
      <c r="B161" s="63"/>
      <c r="C161" s="64"/>
      <c r="D161" s="65"/>
      <c r="E161" s="66"/>
      <c r="F161" s="45">
        <f t="array" ref="F161">SUM(E93:E163)</f>
        <v>0</v>
      </c>
      <c r="G161" s="7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6.5" customHeight="1">
      <c r="A162" s="70"/>
      <c r="B162" s="70"/>
      <c r="C162" s="71"/>
      <c r="D162" s="72"/>
      <c r="E162" s="73"/>
      <c r="F162" s="121" t="s">
        <v>112</v>
      </c>
      <c r="G162" s="48">
        <f t="array" ref="G162">F161-F160</f>
        <v>0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6.5" customHeight="1">
      <c r="A163" s="63"/>
      <c r="B163" s="63"/>
      <c r="C163" s="64"/>
      <c r="D163" s="65"/>
      <c r="E163" s="66"/>
      <c r="F163" s="123" t="s">
        <v>113</v>
      </c>
      <c r="G163" s="107">
        <f t="array" ref="G163">SUM(C93:C163)</f>
        <v>0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6.5" customHeight="1">
      <c r="A164" s="70"/>
      <c r="B164" s="70"/>
      <c r="C164" s="71"/>
      <c r="D164" s="72"/>
      <c r="E164" s="73"/>
      <c r="F164" s="92"/>
      <c r="G164" s="8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6.5" customHeight="1">
      <c r="A165" s="100"/>
      <c r="B165" s="100"/>
      <c r="C165" s="64"/>
      <c r="D165" s="65"/>
      <c r="E165" s="66"/>
      <c r="F165" s="87"/>
      <c r="G165" s="2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6.5" customHeight="1">
      <c r="A166" s="70"/>
      <c r="B166" s="70"/>
      <c r="C166" s="71"/>
      <c r="D166" s="72"/>
      <c r="E166" s="73"/>
      <c r="F166" s="87"/>
      <c r="G166" s="2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6.5" customHeight="1">
      <c r="A167" s="63"/>
      <c r="B167" s="63"/>
      <c r="C167" s="64"/>
      <c r="D167" s="65"/>
      <c r="E167" s="66"/>
      <c r="F167" s="87"/>
      <c r="G167" s="2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6.5" customHeight="1">
      <c r="A168" s="70"/>
      <c r="B168" s="70"/>
      <c r="C168" s="71"/>
      <c r="D168" s="72"/>
      <c r="E168" s="73"/>
      <c r="F168" s="87"/>
      <c r="G168" s="2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6.5" customHeight="1">
      <c r="A169" s="63"/>
      <c r="B169" s="63"/>
      <c r="C169" s="64"/>
      <c r="D169" s="65"/>
      <c r="E169" s="66"/>
      <c r="F169" s="87"/>
      <c r="G169" s="2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6.5" customHeight="1">
      <c r="A170" s="70"/>
      <c r="B170" s="70"/>
      <c r="C170" s="71"/>
      <c r="D170" s="72"/>
      <c r="E170" s="73"/>
      <c r="F170" s="87"/>
      <c r="G170" s="2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6.5" customHeight="1">
      <c r="A171" s="63"/>
      <c r="B171" s="63"/>
      <c r="C171" s="64"/>
      <c r="D171" s="65"/>
      <c r="E171" s="66"/>
      <c r="F171" s="87"/>
      <c r="G171" s="2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6.5" customHeight="1">
      <c r="A172" s="80"/>
      <c r="B172" s="80"/>
      <c r="C172" s="71"/>
      <c r="D172" s="72"/>
      <c r="E172" s="73"/>
      <c r="F172" s="87"/>
      <c r="G172" s="2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6.5" customHeight="1">
      <c r="A173" s="63"/>
      <c r="B173" s="63"/>
      <c r="C173" s="64"/>
      <c r="D173" s="65"/>
      <c r="E173" s="66"/>
      <c r="F173" s="87"/>
      <c r="G173" s="2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6.5" customHeight="1">
      <c r="A174" s="70"/>
      <c r="B174" s="70"/>
      <c r="C174" s="71"/>
      <c r="D174" s="72"/>
      <c r="E174" s="73"/>
      <c r="F174" s="87"/>
      <c r="G174" s="2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6.5" customHeight="1">
      <c r="A175" s="63"/>
      <c r="B175" s="63"/>
      <c r="C175" s="64"/>
      <c r="D175" s="65"/>
      <c r="E175" s="66"/>
      <c r="F175" s="87"/>
      <c r="G175" s="2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6.5" customHeight="1">
      <c r="A176" s="70"/>
      <c r="B176" s="70"/>
      <c r="C176" s="71"/>
      <c r="D176" s="72"/>
      <c r="E176" s="73"/>
      <c r="F176" s="87"/>
      <c r="G176" s="2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6.5" customHeight="1">
      <c r="A177" s="63"/>
      <c r="B177" s="63"/>
      <c r="C177" s="64"/>
      <c r="D177" s="65"/>
      <c r="E177" s="66"/>
      <c r="F177" s="87"/>
      <c r="G177" s="2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6.5" customHeight="1">
      <c r="A178" s="70"/>
      <c r="B178" s="70"/>
      <c r="C178" s="71"/>
      <c r="D178" s="72"/>
      <c r="E178" s="73"/>
      <c r="F178" s="87"/>
      <c r="G178" s="2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6.5" customHeight="1">
      <c r="A179" s="63"/>
      <c r="B179" s="63"/>
      <c r="C179" s="64"/>
      <c r="D179" s="65"/>
      <c r="E179" s="66"/>
      <c r="F179" s="87"/>
      <c r="G179" s="2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6.5" customHeight="1">
      <c r="A180" s="70"/>
      <c r="B180" s="70"/>
      <c r="C180" s="71"/>
      <c r="D180" s="72"/>
      <c r="E180" s="73"/>
      <c r="F180" s="87"/>
      <c r="G180" s="2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6.5" customHeight="1">
      <c r="A181" s="63"/>
      <c r="B181" s="63"/>
      <c r="C181" s="64"/>
      <c r="D181" s="65"/>
      <c r="E181" s="66"/>
      <c r="F181" s="87"/>
      <c r="G181" s="2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6.5" customHeight="1">
      <c r="A182" s="70"/>
      <c r="B182" s="70"/>
      <c r="C182" s="71"/>
      <c r="D182" s="72"/>
      <c r="E182" s="73"/>
      <c r="F182" s="87"/>
      <c r="G182" s="2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6.5" customHeight="1">
      <c r="A183" s="63"/>
      <c r="B183" s="63"/>
      <c r="C183" s="64"/>
      <c r="D183" s="65"/>
      <c r="E183" s="66"/>
      <c r="F183" s="87"/>
      <c r="G183" s="2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6.5" customHeight="1">
      <c r="A184" s="70"/>
      <c r="B184" s="70"/>
      <c r="C184" s="71"/>
      <c r="D184" s="72"/>
      <c r="E184" s="73"/>
      <c r="F184" s="87"/>
      <c r="G184" s="2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6.5" customHeight="1">
      <c r="A185" s="63"/>
      <c r="B185" s="63"/>
      <c r="C185" s="64"/>
      <c r="D185" s="65"/>
      <c r="E185" s="66"/>
      <c r="F185" s="87"/>
      <c r="G185" s="2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6.5" customHeight="1">
      <c r="A186" s="70"/>
      <c r="B186" s="70"/>
      <c r="C186" s="71"/>
      <c r="D186" s="72"/>
      <c r="E186" s="73"/>
      <c r="F186" s="87"/>
      <c r="G186" s="2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6.5" customHeight="1">
      <c r="A187" s="63"/>
      <c r="B187" s="63"/>
      <c r="C187" s="64"/>
      <c r="D187" s="65"/>
      <c r="E187" s="66"/>
      <c r="F187" s="87"/>
      <c r="G187" s="2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6.5" customHeight="1">
      <c r="A188" s="70"/>
      <c r="B188" s="70"/>
      <c r="C188" s="71"/>
      <c r="D188" s="72"/>
      <c r="E188" s="73"/>
      <c r="F188" s="87"/>
      <c r="G188" s="2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6.5" customHeight="1">
      <c r="A189" s="63"/>
      <c r="B189" s="63"/>
      <c r="C189" s="64"/>
      <c r="D189" s="65"/>
      <c r="E189" s="66"/>
      <c r="F189" s="87"/>
      <c r="G189" s="2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6.5" customHeight="1">
      <c r="A190" s="70"/>
      <c r="B190" s="70"/>
      <c r="C190" s="71"/>
      <c r="D190" s="72"/>
      <c r="E190" s="73"/>
      <c r="F190" s="87"/>
      <c r="G190" s="2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6.5" customHeight="1">
      <c r="A191" s="100"/>
      <c r="B191" s="100"/>
      <c r="C191" s="64"/>
      <c r="D191" s="65"/>
      <c r="E191" s="66"/>
      <c r="F191" s="87"/>
      <c r="G191" s="2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6.5" customHeight="1">
      <c r="A192" s="80"/>
      <c r="B192" s="80"/>
      <c r="C192" s="71"/>
      <c r="D192" s="72"/>
      <c r="E192" s="73"/>
      <c r="F192" s="87"/>
      <c r="G192" s="2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6.5" customHeight="1">
      <c r="A193" s="63"/>
      <c r="B193" s="63"/>
      <c r="C193" s="64"/>
      <c r="D193" s="65"/>
      <c r="E193" s="66"/>
      <c r="F193" s="87"/>
      <c r="G193" s="2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6.5" customHeight="1">
      <c r="A194" s="70"/>
      <c r="B194" s="70"/>
      <c r="C194" s="71"/>
      <c r="D194" s="72"/>
      <c r="E194" s="73"/>
      <c r="F194" s="87"/>
      <c r="G194" s="2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6.5" customHeight="1">
      <c r="A195" s="63"/>
      <c r="B195" s="63"/>
      <c r="C195" s="64"/>
      <c r="D195" s="65"/>
      <c r="E195" s="66"/>
      <c r="F195" s="87"/>
      <c r="G195" s="2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6.5" customHeight="1">
      <c r="A196" s="70"/>
      <c r="B196" s="70"/>
      <c r="C196" s="71"/>
      <c r="D196" s="72"/>
      <c r="E196" s="73"/>
      <c r="F196" s="87"/>
      <c r="G196" s="2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6.5" customHeight="1">
      <c r="A197" s="63"/>
      <c r="B197" s="63"/>
      <c r="C197" s="64"/>
      <c r="D197" s="65"/>
      <c r="E197" s="66"/>
      <c r="F197" s="87"/>
      <c r="G197" s="2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6.5" customHeight="1">
      <c r="A198" s="70"/>
      <c r="B198" s="70"/>
      <c r="C198" s="71"/>
      <c r="D198" s="72"/>
      <c r="E198" s="73"/>
      <c r="F198" s="87"/>
      <c r="G198" s="2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6.5" customHeight="1">
      <c r="A199" s="63"/>
      <c r="B199" s="63"/>
      <c r="C199" s="64"/>
      <c r="D199" s="65"/>
      <c r="E199" s="66"/>
      <c r="F199" s="87"/>
      <c r="G199" s="2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6.5" customHeight="1">
      <c r="A200" s="70"/>
      <c r="B200" s="70"/>
      <c r="C200" s="71"/>
      <c r="D200" s="72"/>
      <c r="E200" s="73"/>
      <c r="F200" s="87"/>
      <c r="G200" s="2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6.5" customHeight="1">
      <c r="A201" s="63"/>
      <c r="B201" s="63"/>
      <c r="C201" s="64"/>
      <c r="D201" s="65"/>
      <c r="E201" s="66"/>
      <c r="F201" s="87"/>
      <c r="G201" s="2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6.5" customHeight="1">
      <c r="A202" s="70"/>
      <c r="B202" s="70"/>
      <c r="C202" s="71"/>
      <c r="D202" s="72"/>
      <c r="E202" s="73"/>
      <c r="F202" s="87"/>
      <c r="G202" s="2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6.5" customHeight="1">
      <c r="A203" s="63"/>
      <c r="B203" s="63"/>
      <c r="C203" s="64"/>
      <c r="D203" s="65"/>
      <c r="E203" s="66"/>
      <c r="F203" s="87"/>
      <c r="G203" s="2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6.5" customHeight="1">
      <c r="A204" s="70"/>
      <c r="B204" s="70"/>
      <c r="C204" s="71"/>
      <c r="D204" s="72"/>
      <c r="E204" s="73"/>
      <c r="F204" s="87"/>
      <c r="G204" s="2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6.5" customHeight="1">
      <c r="A205" s="63"/>
      <c r="B205" s="63"/>
      <c r="C205" s="64"/>
      <c r="D205" s="65"/>
      <c r="E205" s="66"/>
      <c r="F205" s="87"/>
      <c r="G205" s="2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6.5" customHeight="1">
      <c r="A206" s="80"/>
      <c r="B206" s="80"/>
      <c r="C206" s="71"/>
      <c r="D206" s="72"/>
      <c r="E206" s="73"/>
      <c r="F206" s="87"/>
      <c r="G206" s="2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6.5" customHeight="1">
      <c r="A207" s="63"/>
      <c r="B207" s="63"/>
      <c r="C207" s="64"/>
      <c r="D207" s="65"/>
      <c r="E207" s="66"/>
      <c r="F207" s="87"/>
      <c r="G207" s="2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6.5" customHeight="1">
      <c r="A208" s="70"/>
      <c r="B208" s="70"/>
      <c r="C208" s="71"/>
      <c r="D208" s="72"/>
      <c r="E208" s="73"/>
      <c r="F208" s="87"/>
      <c r="G208" s="2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6.5" customHeight="1">
      <c r="A209" s="63"/>
      <c r="B209" s="63"/>
      <c r="C209" s="64"/>
      <c r="D209" s="65"/>
      <c r="E209" s="66"/>
      <c r="F209" s="87"/>
      <c r="G209" s="2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6.5" customHeight="1">
      <c r="A210" s="80"/>
      <c r="B210" s="80"/>
      <c r="C210" s="71"/>
      <c r="D210" s="72"/>
      <c r="E210" s="73"/>
      <c r="F210" s="87"/>
      <c r="G210" s="2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6.5" customHeight="1">
      <c r="A211" s="63"/>
      <c r="B211" s="63"/>
      <c r="C211" s="64"/>
      <c r="D211" s="65"/>
      <c r="E211" s="66"/>
      <c r="F211" s="87"/>
      <c r="G211" s="2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6.5" customHeight="1">
      <c r="A212" s="80"/>
      <c r="B212" s="80"/>
      <c r="C212" s="71"/>
      <c r="D212" s="72"/>
      <c r="E212" s="73"/>
      <c r="F212" s="87"/>
      <c r="G212" s="2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6.5" customHeight="1">
      <c r="A213" s="63"/>
      <c r="B213" s="63"/>
      <c r="C213" s="64"/>
      <c r="D213" s="65"/>
      <c r="E213" s="66"/>
      <c r="F213" s="87"/>
      <c r="G213" s="2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6.5" customHeight="1">
      <c r="A214" s="70"/>
      <c r="B214" s="70"/>
      <c r="C214" s="71"/>
      <c r="D214" s="72"/>
      <c r="E214" s="73"/>
      <c r="F214" s="87"/>
      <c r="G214" s="2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6.5" customHeight="1">
      <c r="A215" s="63"/>
      <c r="B215" s="63"/>
      <c r="C215" s="64"/>
      <c r="D215" s="65"/>
      <c r="E215" s="66"/>
      <c r="F215" s="87"/>
      <c r="G215" s="2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6.5" customHeight="1">
      <c r="A216" s="70"/>
      <c r="B216" s="70"/>
      <c r="C216" s="71"/>
      <c r="D216" s="72"/>
      <c r="E216" s="73"/>
      <c r="F216" s="87"/>
      <c r="G216" s="2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6.5" customHeight="1">
      <c r="A217" s="63"/>
      <c r="B217" s="63"/>
      <c r="C217" s="64"/>
      <c r="D217" s="65"/>
      <c r="E217" s="66"/>
      <c r="F217" s="87"/>
      <c r="G217" s="2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6.5" customHeight="1">
      <c r="A218" s="70"/>
      <c r="B218" s="70"/>
      <c r="C218" s="71"/>
      <c r="D218" s="72"/>
      <c r="E218" s="73"/>
      <c r="F218" s="87"/>
      <c r="G218" s="2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6.5" customHeight="1">
      <c r="A219" s="63"/>
      <c r="B219" s="63"/>
      <c r="C219" s="64"/>
      <c r="D219" s="65"/>
      <c r="E219" s="66"/>
      <c r="F219" s="87"/>
      <c r="G219" s="2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6.5" customHeight="1">
      <c r="A220" s="70"/>
      <c r="B220" s="70"/>
      <c r="C220" s="71"/>
      <c r="D220" s="72"/>
      <c r="E220" s="73"/>
      <c r="F220" s="87"/>
      <c r="G220" s="2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6.5" customHeight="1">
      <c r="A221" s="63"/>
      <c r="B221" s="63"/>
      <c r="C221" s="64"/>
      <c r="D221" s="65"/>
      <c r="E221" s="66"/>
      <c r="F221" s="87"/>
      <c r="G221" s="2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6.5" customHeight="1">
      <c r="A222" s="70"/>
      <c r="B222" s="70"/>
      <c r="C222" s="71"/>
      <c r="D222" s="72"/>
      <c r="E222" s="73"/>
      <c r="F222" s="87"/>
      <c r="G222" s="2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6.5" customHeight="1">
      <c r="A223" s="100"/>
      <c r="B223" s="100"/>
      <c r="C223" s="64"/>
      <c r="D223" s="65"/>
      <c r="E223" s="66"/>
      <c r="F223" s="87"/>
      <c r="G223" s="2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6.5" customHeight="1">
      <c r="A224" s="70"/>
      <c r="B224" s="70"/>
      <c r="C224" s="71"/>
      <c r="D224" s="72"/>
      <c r="E224" s="73"/>
      <c r="F224" s="87"/>
      <c r="G224" s="2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6.5" customHeight="1">
      <c r="A225" s="63"/>
      <c r="B225" s="63"/>
      <c r="C225" s="64"/>
      <c r="D225" s="65"/>
      <c r="E225" s="66"/>
      <c r="F225" s="87"/>
      <c r="G225" s="2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6.5" customHeight="1">
      <c r="A226" s="70"/>
      <c r="B226" s="70"/>
      <c r="C226" s="71"/>
      <c r="D226" s="72"/>
      <c r="E226" s="73"/>
      <c r="F226" s="87"/>
      <c r="G226" s="2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6.5" customHeight="1">
      <c r="A227" s="100"/>
      <c r="B227" s="100"/>
      <c r="C227" s="64"/>
      <c r="D227" s="65"/>
      <c r="E227" s="66"/>
      <c r="F227" s="87"/>
      <c r="G227" s="2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6.5" customHeight="1">
      <c r="A228" s="70"/>
      <c r="B228" s="70"/>
      <c r="C228" s="71"/>
      <c r="D228" s="72"/>
      <c r="E228" s="73"/>
      <c r="F228" s="87"/>
      <c r="G228" s="2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6.5" customHeight="1">
      <c r="A229" s="100"/>
      <c r="B229" s="100"/>
      <c r="C229" s="64"/>
      <c r="D229" s="65"/>
      <c r="E229" s="66"/>
      <c r="F229" s="87"/>
      <c r="G229" s="2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6.5" customHeight="1">
      <c r="A230" s="70"/>
      <c r="B230" s="70"/>
      <c r="C230" s="71"/>
      <c r="D230" s="72"/>
      <c r="E230" s="73"/>
      <c r="F230" s="87"/>
      <c r="G230" s="2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6.5" customHeight="1">
      <c r="A231" s="63"/>
      <c r="B231" s="63"/>
      <c r="C231" s="64"/>
      <c r="D231" s="65"/>
      <c r="E231" s="66"/>
      <c r="F231" s="87"/>
      <c r="G231" s="2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6.5" customHeight="1">
      <c r="A232" s="70"/>
      <c r="B232" s="70"/>
      <c r="C232" s="71"/>
      <c r="D232" s="72"/>
      <c r="E232" s="73"/>
      <c r="F232" s="104"/>
      <c r="G232" s="2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6.5" customHeight="1">
      <c r="A233" s="63"/>
      <c r="B233" s="63"/>
      <c r="C233" s="64"/>
      <c r="D233" s="65"/>
      <c r="E233" s="66"/>
      <c r="F233" s="68">
        <f t="array" ref="F233">SUM(D164:D236)</f>
        <v>0</v>
      </c>
      <c r="G233" s="6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6.5" customHeight="1">
      <c r="A234" s="70"/>
      <c r="B234" s="70"/>
      <c r="C234" s="71"/>
      <c r="D234" s="72"/>
      <c r="E234" s="73"/>
      <c r="F234" s="45">
        <f t="array" ref="F234">SUM(E164:E236)</f>
        <v>0</v>
      </c>
      <c r="G234" s="7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6.5" customHeight="1">
      <c r="A235" s="63"/>
      <c r="B235" s="63"/>
      <c r="C235" s="64"/>
      <c r="D235" s="65"/>
      <c r="E235" s="66"/>
      <c r="F235" s="121" t="s">
        <v>114</v>
      </c>
      <c r="G235" s="48">
        <f t="array" ref="G235">F234-F233</f>
        <v>0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6.5" customHeight="1">
      <c r="A236" s="70"/>
      <c r="B236" s="70"/>
      <c r="C236" s="71"/>
      <c r="D236" s="72"/>
      <c r="E236" s="73"/>
      <c r="F236" s="123" t="s">
        <v>115</v>
      </c>
      <c r="G236" s="107">
        <f t="array" ref="G236">SUM(C164:C236)</f>
        <v>0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6.5" customHeight="1">
      <c r="A237" s="63"/>
      <c r="B237" s="63"/>
      <c r="C237" s="64"/>
      <c r="D237" s="65"/>
      <c r="E237" s="66"/>
      <c r="F237" s="92"/>
      <c r="G237" s="8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6.5" customHeight="1">
      <c r="A238" s="80"/>
      <c r="B238" s="80"/>
      <c r="C238" s="71"/>
      <c r="D238" s="72"/>
      <c r="E238" s="73"/>
      <c r="F238" s="87"/>
      <c r="G238" s="2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6.5" customHeight="1">
      <c r="A239" s="63"/>
      <c r="B239" s="63"/>
      <c r="C239" s="64"/>
      <c r="D239" s="65"/>
      <c r="E239" s="66"/>
      <c r="F239" s="87"/>
      <c r="G239" s="2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6.5" customHeight="1">
      <c r="A240" s="70"/>
      <c r="B240" s="70"/>
      <c r="C240" s="71"/>
      <c r="D240" s="72"/>
      <c r="E240" s="73"/>
      <c r="F240" s="87"/>
      <c r="G240" s="2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6.5" customHeight="1">
      <c r="A241" s="63"/>
      <c r="B241" s="63"/>
      <c r="C241" s="64"/>
      <c r="D241" s="65"/>
      <c r="E241" s="66"/>
      <c r="F241" s="87"/>
      <c r="G241" s="2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6.5" customHeight="1">
      <c r="A242" s="80"/>
      <c r="B242" s="80"/>
      <c r="C242" s="71"/>
      <c r="D242" s="72"/>
      <c r="E242" s="73"/>
      <c r="F242" s="87"/>
      <c r="G242" s="2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6.5" customHeight="1">
      <c r="A243" s="63"/>
      <c r="B243" s="63"/>
      <c r="C243" s="64"/>
      <c r="D243" s="65"/>
      <c r="E243" s="66"/>
      <c r="F243" s="87"/>
      <c r="G243" s="2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6.5" customHeight="1">
      <c r="A244" s="70"/>
      <c r="B244" s="70"/>
      <c r="C244" s="71"/>
      <c r="D244" s="72"/>
      <c r="E244" s="73"/>
      <c r="F244" s="87"/>
      <c r="G244" s="2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6.5" customHeight="1">
      <c r="A245" s="63"/>
      <c r="B245" s="63"/>
      <c r="C245" s="64"/>
      <c r="D245" s="65"/>
      <c r="E245" s="66"/>
      <c r="F245" s="87"/>
      <c r="G245" s="2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6.5" customHeight="1">
      <c r="A246" s="70"/>
      <c r="B246" s="70"/>
      <c r="C246" s="71"/>
      <c r="D246" s="72"/>
      <c r="E246" s="73"/>
      <c r="F246" s="87"/>
      <c r="G246" s="2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6.5" customHeight="1">
      <c r="A247" s="63"/>
      <c r="B247" s="63"/>
      <c r="C247" s="64"/>
      <c r="D247" s="65"/>
      <c r="E247" s="66"/>
      <c r="F247" s="87"/>
      <c r="G247" s="2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6.5" customHeight="1">
      <c r="A248" s="70"/>
      <c r="B248" s="70"/>
      <c r="C248" s="71"/>
      <c r="D248" s="72"/>
      <c r="E248" s="73"/>
      <c r="F248" s="87"/>
      <c r="G248" s="2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6.5" customHeight="1">
      <c r="A249" s="100"/>
      <c r="B249" s="100"/>
      <c r="C249" s="64"/>
      <c r="D249" s="65"/>
      <c r="E249" s="66"/>
      <c r="F249" s="87"/>
      <c r="G249" s="2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6.5" customHeight="1">
      <c r="A250" s="70"/>
      <c r="B250" s="70"/>
      <c r="C250" s="71"/>
      <c r="D250" s="72"/>
      <c r="E250" s="73"/>
      <c r="F250" s="87"/>
      <c r="G250" s="2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6.5" customHeight="1">
      <c r="A251" s="63"/>
      <c r="B251" s="63"/>
      <c r="C251" s="64"/>
      <c r="D251" s="65"/>
      <c r="E251" s="66"/>
      <c r="F251" s="87"/>
      <c r="G251" s="2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6.5" customHeight="1">
      <c r="A252" s="80"/>
      <c r="B252" s="70"/>
      <c r="C252" s="71"/>
      <c r="D252" s="72"/>
      <c r="E252" s="73"/>
      <c r="F252" s="87"/>
      <c r="G252" s="2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6.5" customHeight="1">
      <c r="A253" s="63"/>
      <c r="B253" s="63"/>
      <c r="C253" s="64"/>
      <c r="D253" s="65"/>
      <c r="E253" s="66"/>
      <c r="F253" s="87"/>
      <c r="G253" s="2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6.5" customHeight="1">
      <c r="A254" s="70"/>
      <c r="B254" s="70"/>
      <c r="C254" s="71"/>
      <c r="D254" s="72"/>
      <c r="E254" s="73"/>
      <c r="F254" s="87"/>
      <c r="G254" s="2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6.5" customHeight="1">
      <c r="A255" s="63"/>
      <c r="B255" s="63"/>
      <c r="C255" s="64"/>
      <c r="D255" s="65"/>
      <c r="E255" s="66"/>
      <c r="F255" s="87"/>
      <c r="G255" s="2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6.5" customHeight="1">
      <c r="A256" s="70"/>
      <c r="B256" s="70"/>
      <c r="C256" s="71"/>
      <c r="D256" s="72"/>
      <c r="E256" s="73"/>
      <c r="F256" s="87"/>
      <c r="G256" s="2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6.5" customHeight="1">
      <c r="A257" s="63"/>
      <c r="B257" s="63"/>
      <c r="C257" s="64"/>
      <c r="D257" s="65"/>
      <c r="E257" s="66"/>
      <c r="F257" s="87"/>
      <c r="G257" s="2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6.5" customHeight="1">
      <c r="A258" s="70"/>
      <c r="B258" s="70"/>
      <c r="C258" s="71"/>
      <c r="D258" s="72"/>
      <c r="E258" s="73"/>
      <c r="F258" s="87"/>
      <c r="G258" s="2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6.5" customHeight="1">
      <c r="A259" s="63"/>
      <c r="B259" s="63"/>
      <c r="C259" s="64"/>
      <c r="D259" s="65"/>
      <c r="E259" s="66"/>
      <c r="F259" s="87"/>
      <c r="G259" s="2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6.5" customHeight="1">
      <c r="A260" s="70"/>
      <c r="B260" s="70"/>
      <c r="C260" s="71"/>
      <c r="D260" s="72"/>
      <c r="E260" s="73"/>
      <c r="F260" s="87"/>
      <c r="G260" s="2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6.5" customHeight="1">
      <c r="A261" s="100"/>
      <c r="B261" s="100"/>
      <c r="C261" s="64"/>
      <c r="D261" s="65"/>
      <c r="E261" s="66"/>
      <c r="F261" s="87"/>
      <c r="G261" s="2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6.5" customHeight="1">
      <c r="A262" s="70"/>
      <c r="B262" s="70"/>
      <c r="C262" s="71"/>
      <c r="D262" s="72"/>
      <c r="E262" s="73"/>
      <c r="F262" s="87"/>
      <c r="G262" s="2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6.5" customHeight="1">
      <c r="A263" s="100"/>
      <c r="B263" s="100"/>
      <c r="C263" s="64"/>
      <c r="D263" s="65"/>
      <c r="E263" s="66"/>
      <c r="F263" s="87"/>
      <c r="G263" s="2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6.5" customHeight="1">
      <c r="A264" s="70"/>
      <c r="B264" s="70"/>
      <c r="C264" s="71"/>
      <c r="D264" s="72"/>
      <c r="E264" s="73"/>
      <c r="F264" s="87"/>
      <c r="G264" s="2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6.5" customHeight="1">
      <c r="A265" s="100"/>
      <c r="B265" s="63"/>
      <c r="C265" s="64"/>
      <c r="D265" s="65"/>
      <c r="E265" s="66"/>
      <c r="F265" s="87"/>
      <c r="G265" s="2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6.5" customHeight="1">
      <c r="A266" s="70"/>
      <c r="B266" s="70"/>
      <c r="C266" s="71"/>
      <c r="D266" s="72"/>
      <c r="E266" s="73"/>
      <c r="F266" s="87"/>
      <c r="G266" s="2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6.5" customHeight="1">
      <c r="A267" s="63"/>
      <c r="B267" s="63"/>
      <c r="C267" s="64"/>
      <c r="D267" s="65"/>
      <c r="E267" s="66"/>
      <c r="F267" s="87"/>
      <c r="G267" s="2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6.5" customHeight="1">
      <c r="A268" s="70"/>
      <c r="B268" s="70"/>
      <c r="C268" s="71"/>
      <c r="D268" s="72"/>
      <c r="E268" s="73"/>
      <c r="F268" s="87"/>
      <c r="G268" s="2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6.5" customHeight="1">
      <c r="A269" s="100"/>
      <c r="B269" s="63"/>
      <c r="C269" s="64"/>
      <c r="D269" s="65"/>
      <c r="E269" s="66"/>
      <c r="F269" s="87"/>
      <c r="G269" s="2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6.5" customHeight="1">
      <c r="A270" s="70"/>
      <c r="B270" s="70"/>
      <c r="C270" s="71"/>
      <c r="D270" s="72"/>
      <c r="E270" s="73"/>
      <c r="F270" s="87"/>
      <c r="G270" s="2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6.5" customHeight="1">
      <c r="A271" s="63"/>
      <c r="B271" s="63"/>
      <c r="C271" s="64"/>
      <c r="D271" s="65"/>
      <c r="E271" s="66"/>
      <c r="F271" s="87"/>
      <c r="G271" s="2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6.5" customHeight="1">
      <c r="A272" s="70"/>
      <c r="B272" s="70"/>
      <c r="C272" s="71"/>
      <c r="D272" s="72"/>
      <c r="E272" s="73"/>
      <c r="F272" s="87"/>
      <c r="G272" s="2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6.5" customHeight="1">
      <c r="A273" s="100"/>
      <c r="B273" s="63"/>
      <c r="C273" s="64"/>
      <c r="D273" s="65"/>
      <c r="E273" s="66"/>
      <c r="F273" s="87"/>
      <c r="G273" s="2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80"/>
      <c r="B274" s="70"/>
      <c r="C274" s="71"/>
      <c r="D274" s="72"/>
      <c r="E274" s="73"/>
      <c r="F274" s="87"/>
      <c r="G274" s="2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6.5" customHeight="1">
      <c r="A275" s="63"/>
      <c r="B275" s="63"/>
      <c r="C275" s="64"/>
      <c r="D275" s="65"/>
      <c r="E275" s="66"/>
      <c r="F275" s="87"/>
      <c r="G275" s="2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6.5" customHeight="1">
      <c r="A276" s="80"/>
      <c r="B276" s="70"/>
      <c r="C276" s="71"/>
      <c r="D276" s="72"/>
      <c r="E276" s="73"/>
      <c r="F276" s="87"/>
      <c r="G276" s="2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6.5" customHeight="1">
      <c r="A277" s="63"/>
      <c r="B277" s="63"/>
      <c r="C277" s="64"/>
      <c r="D277" s="65"/>
      <c r="E277" s="66"/>
      <c r="F277" s="87"/>
      <c r="G277" s="2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6.5" customHeight="1">
      <c r="A278" s="70"/>
      <c r="B278" s="70"/>
      <c r="C278" s="71"/>
      <c r="D278" s="72"/>
      <c r="E278" s="73"/>
      <c r="F278" s="87"/>
      <c r="G278" s="2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6.5" customHeight="1">
      <c r="A279" s="63"/>
      <c r="B279" s="63"/>
      <c r="C279" s="64"/>
      <c r="D279" s="65"/>
      <c r="E279" s="66"/>
      <c r="F279" s="87"/>
      <c r="G279" s="2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6.5" customHeight="1">
      <c r="A280" s="70"/>
      <c r="B280" s="70"/>
      <c r="C280" s="71"/>
      <c r="D280" s="72"/>
      <c r="E280" s="73"/>
      <c r="F280" s="87"/>
      <c r="G280" s="2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6.5" customHeight="1">
      <c r="A281" s="63"/>
      <c r="B281" s="63"/>
      <c r="C281" s="64"/>
      <c r="D281" s="65"/>
      <c r="E281" s="66"/>
      <c r="F281" s="87"/>
      <c r="G281" s="2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6.5" customHeight="1">
      <c r="A282" s="70"/>
      <c r="B282" s="70"/>
      <c r="C282" s="71"/>
      <c r="D282" s="72"/>
      <c r="E282" s="73"/>
      <c r="F282" s="87"/>
      <c r="G282" s="2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6.5" customHeight="1">
      <c r="A283" s="63"/>
      <c r="B283" s="63"/>
      <c r="C283" s="64"/>
      <c r="D283" s="65"/>
      <c r="E283" s="66"/>
      <c r="F283" s="87"/>
      <c r="G283" s="2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6.5" customHeight="1">
      <c r="A284" s="70"/>
      <c r="B284" s="70"/>
      <c r="C284" s="71"/>
      <c r="D284" s="72"/>
      <c r="E284" s="73"/>
      <c r="F284" s="87"/>
      <c r="G284" s="2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6.5" customHeight="1">
      <c r="A285" s="63"/>
      <c r="B285" s="63"/>
      <c r="C285" s="64"/>
      <c r="D285" s="65"/>
      <c r="E285" s="66"/>
      <c r="F285" s="87"/>
      <c r="G285" s="2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6.5" customHeight="1">
      <c r="A286" s="80"/>
      <c r="B286" s="80"/>
      <c r="C286" s="71"/>
      <c r="D286" s="72"/>
      <c r="E286" s="73"/>
      <c r="F286" s="87"/>
      <c r="G286" s="2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6.5" customHeight="1">
      <c r="A287" s="63"/>
      <c r="B287" s="63"/>
      <c r="C287" s="64"/>
      <c r="D287" s="65"/>
      <c r="E287" s="66"/>
      <c r="F287" s="104"/>
      <c r="G287" s="2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6.5" customHeight="1">
      <c r="A288" s="70"/>
      <c r="B288" s="70"/>
      <c r="C288" s="71"/>
      <c r="D288" s="72"/>
      <c r="E288" s="73"/>
      <c r="F288" s="68">
        <f t="array" ref="F288">SUM(D237:D291)</f>
        <v>0</v>
      </c>
      <c r="G288" s="6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6.5" customHeight="1">
      <c r="A289" s="63"/>
      <c r="B289" s="63"/>
      <c r="C289" s="64"/>
      <c r="D289" s="65"/>
      <c r="E289" s="66"/>
      <c r="F289" s="45">
        <f t="array" ref="F289">SUM(E237:E291)</f>
        <v>0</v>
      </c>
      <c r="G289" s="7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6.5" customHeight="1">
      <c r="A290" s="70"/>
      <c r="B290" s="70"/>
      <c r="C290" s="71"/>
      <c r="D290" s="72"/>
      <c r="E290" s="73"/>
      <c r="F290" s="121" t="s">
        <v>116</v>
      </c>
      <c r="G290" s="48">
        <f t="array" ref="G290">F289-F288</f>
        <v>0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6.5" customHeight="1">
      <c r="A291" s="63"/>
      <c r="B291" s="63"/>
      <c r="C291" s="64"/>
      <c r="D291" s="65"/>
      <c r="E291" s="66"/>
      <c r="F291" s="123" t="s">
        <v>117</v>
      </c>
      <c r="G291" s="107">
        <f t="array" ref="G291">SUM(C237:C291)</f>
        <v>0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6.5" customHeight="1">
      <c r="A292" s="70"/>
      <c r="B292" s="70"/>
      <c r="C292" s="71"/>
      <c r="D292" s="72"/>
      <c r="E292" s="73"/>
      <c r="F292" s="92"/>
      <c r="G292" s="8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6.5" customHeight="1">
      <c r="A293" s="63"/>
      <c r="B293" s="63"/>
      <c r="C293" s="64"/>
      <c r="D293" s="65"/>
      <c r="E293" s="66"/>
      <c r="F293" s="87"/>
      <c r="G293" s="2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6.5" customHeight="1">
      <c r="A294" s="70"/>
      <c r="B294" s="70"/>
      <c r="C294" s="71"/>
      <c r="D294" s="72"/>
      <c r="E294" s="73"/>
      <c r="F294" s="87"/>
      <c r="G294" s="2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6.5" customHeight="1">
      <c r="A295" s="63"/>
      <c r="B295" s="63"/>
      <c r="C295" s="64"/>
      <c r="D295" s="65"/>
      <c r="E295" s="66"/>
      <c r="F295" s="87"/>
      <c r="G295" s="2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6.5" customHeight="1">
      <c r="A296" s="70"/>
      <c r="B296" s="70"/>
      <c r="C296" s="71"/>
      <c r="D296" s="72"/>
      <c r="E296" s="73"/>
      <c r="F296" s="87"/>
      <c r="G296" s="2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6.5" customHeight="1">
      <c r="A297" s="63"/>
      <c r="B297" s="63"/>
      <c r="C297" s="64"/>
      <c r="D297" s="65"/>
      <c r="E297" s="66"/>
      <c r="F297" s="87"/>
      <c r="G297" s="2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6.5" customHeight="1">
      <c r="A298" s="70"/>
      <c r="B298" s="70"/>
      <c r="C298" s="71"/>
      <c r="D298" s="72"/>
      <c r="E298" s="73"/>
      <c r="F298" s="87"/>
      <c r="G298" s="2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6.5" customHeight="1">
      <c r="A299" s="63"/>
      <c r="B299" s="63"/>
      <c r="C299" s="64"/>
      <c r="D299" s="65"/>
      <c r="E299" s="66"/>
      <c r="F299" s="87"/>
      <c r="G299" s="2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6.5" customHeight="1">
      <c r="A300" s="70"/>
      <c r="B300" s="70"/>
      <c r="C300" s="71"/>
      <c r="D300" s="72"/>
      <c r="E300" s="73"/>
      <c r="F300" s="87"/>
      <c r="G300" s="2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6.5" customHeight="1">
      <c r="A301" s="63"/>
      <c r="B301" s="63"/>
      <c r="C301" s="64"/>
      <c r="D301" s="65"/>
      <c r="E301" s="66"/>
      <c r="F301" s="87"/>
      <c r="G301" s="2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6.5" customHeight="1">
      <c r="A302" s="70"/>
      <c r="B302" s="70"/>
      <c r="C302" s="71"/>
      <c r="D302" s="72"/>
      <c r="E302" s="73"/>
      <c r="F302" s="87"/>
      <c r="G302" s="2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6.5" customHeight="1">
      <c r="A303" s="63"/>
      <c r="B303" s="63"/>
      <c r="C303" s="64"/>
      <c r="D303" s="65"/>
      <c r="E303" s="66"/>
      <c r="F303" s="87"/>
      <c r="G303" s="2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6.5" customHeight="1">
      <c r="A304" s="70"/>
      <c r="B304" s="70"/>
      <c r="C304" s="71"/>
      <c r="D304" s="72"/>
      <c r="E304" s="73"/>
      <c r="F304" s="87"/>
      <c r="G304" s="2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6.5" customHeight="1">
      <c r="A305" s="63"/>
      <c r="B305" s="63"/>
      <c r="C305" s="64"/>
      <c r="D305" s="65"/>
      <c r="E305" s="66"/>
      <c r="F305" s="87"/>
      <c r="G305" s="2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6.5" customHeight="1">
      <c r="A306" s="70"/>
      <c r="B306" s="70"/>
      <c r="C306" s="71"/>
      <c r="D306" s="72"/>
      <c r="E306" s="73"/>
      <c r="F306" s="87"/>
      <c r="G306" s="2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6.5" customHeight="1">
      <c r="A307" s="63"/>
      <c r="B307" s="63"/>
      <c r="C307" s="64"/>
      <c r="D307" s="65"/>
      <c r="E307" s="66"/>
      <c r="F307" s="87"/>
      <c r="G307" s="2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6.5" customHeight="1">
      <c r="A308" s="70"/>
      <c r="B308" s="70"/>
      <c r="C308" s="71"/>
      <c r="D308" s="72"/>
      <c r="E308" s="73"/>
      <c r="F308" s="87"/>
      <c r="G308" s="2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6.5" customHeight="1">
      <c r="A309" s="63"/>
      <c r="B309" s="63"/>
      <c r="C309" s="64"/>
      <c r="D309" s="65"/>
      <c r="E309" s="66"/>
      <c r="F309" s="87"/>
      <c r="G309" s="2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6.5" customHeight="1">
      <c r="A310" s="80"/>
      <c r="B310" s="80"/>
      <c r="C310" s="71"/>
      <c r="D310" s="72"/>
      <c r="E310" s="73"/>
      <c r="F310" s="87"/>
      <c r="G310" s="2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6.5" customHeight="1">
      <c r="A311" s="63"/>
      <c r="B311" s="63"/>
      <c r="C311" s="64"/>
      <c r="D311" s="65"/>
      <c r="E311" s="66"/>
      <c r="F311" s="87"/>
      <c r="G311" s="2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6.5" customHeight="1">
      <c r="A312" s="70"/>
      <c r="B312" s="70"/>
      <c r="C312" s="71"/>
      <c r="D312" s="72"/>
      <c r="E312" s="73"/>
      <c r="F312" s="87"/>
      <c r="G312" s="2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6.5" customHeight="1">
      <c r="A313" s="63"/>
      <c r="B313" s="63"/>
      <c r="C313" s="64"/>
      <c r="D313" s="65"/>
      <c r="E313" s="66"/>
      <c r="F313" s="87"/>
      <c r="G313" s="2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6.5" customHeight="1">
      <c r="A314" s="80"/>
      <c r="B314" s="80"/>
      <c r="C314" s="71"/>
      <c r="D314" s="72"/>
      <c r="E314" s="73"/>
      <c r="F314" s="87"/>
      <c r="G314" s="2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6.5" customHeight="1">
      <c r="A315" s="63"/>
      <c r="B315" s="63"/>
      <c r="C315" s="64"/>
      <c r="D315" s="65"/>
      <c r="E315" s="66"/>
      <c r="F315" s="87"/>
      <c r="G315" s="2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6.5" customHeight="1">
      <c r="A316" s="70"/>
      <c r="B316" s="70"/>
      <c r="C316" s="71"/>
      <c r="D316" s="72"/>
      <c r="E316" s="73"/>
      <c r="F316" s="87"/>
      <c r="G316" s="2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6.5" customHeight="1">
      <c r="A317" s="63"/>
      <c r="B317" s="63"/>
      <c r="C317" s="64"/>
      <c r="D317" s="65"/>
      <c r="E317" s="66"/>
      <c r="F317" s="87"/>
      <c r="G317" s="2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6.5" customHeight="1">
      <c r="A318" s="70"/>
      <c r="B318" s="70"/>
      <c r="C318" s="71"/>
      <c r="D318" s="72"/>
      <c r="E318" s="73"/>
      <c r="F318" s="87"/>
      <c r="G318" s="2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6.5" customHeight="1">
      <c r="A319" s="63"/>
      <c r="B319" s="63"/>
      <c r="C319" s="64"/>
      <c r="D319" s="65"/>
      <c r="E319" s="66"/>
      <c r="F319" s="87"/>
      <c r="G319" s="2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6.5" customHeight="1">
      <c r="A320" s="70"/>
      <c r="B320" s="70"/>
      <c r="C320" s="71"/>
      <c r="D320" s="72"/>
      <c r="E320" s="73"/>
      <c r="F320" s="87"/>
      <c r="G320" s="2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6.5" customHeight="1">
      <c r="A321" s="63"/>
      <c r="B321" s="63"/>
      <c r="C321" s="64"/>
      <c r="D321" s="65"/>
      <c r="E321" s="66"/>
      <c r="F321" s="87"/>
      <c r="G321" s="2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6.5" customHeight="1">
      <c r="A322" s="70"/>
      <c r="B322" s="70"/>
      <c r="C322" s="71"/>
      <c r="D322" s="72"/>
      <c r="E322" s="73"/>
      <c r="F322" s="87"/>
      <c r="G322" s="2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6.5" customHeight="1">
      <c r="A323" s="63"/>
      <c r="B323" s="63"/>
      <c r="C323" s="64"/>
      <c r="D323" s="65"/>
      <c r="E323" s="66"/>
      <c r="F323" s="87"/>
      <c r="G323" s="2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6.5" customHeight="1">
      <c r="A324" s="70"/>
      <c r="B324" s="70"/>
      <c r="C324" s="71"/>
      <c r="D324" s="72"/>
      <c r="E324" s="73"/>
      <c r="F324" s="87"/>
      <c r="G324" s="2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6.5" customHeight="1">
      <c r="A325" s="100"/>
      <c r="B325" s="100"/>
      <c r="C325" s="64"/>
      <c r="D325" s="65"/>
      <c r="E325" s="66"/>
      <c r="F325" s="87"/>
      <c r="G325" s="2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6.5" customHeight="1">
      <c r="A326" s="70"/>
      <c r="B326" s="70"/>
      <c r="C326" s="71"/>
      <c r="D326" s="72"/>
      <c r="E326" s="73"/>
      <c r="F326" s="87"/>
      <c r="G326" s="2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6.5" customHeight="1">
      <c r="A327" s="63"/>
      <c r="B327" s="63"/>
      <c r="C327" s="64"/>
      <c r="D327" s="65"/>
      <c r="E327" s="66"/>
      <c r="F327" s="87"/>
      <c r="G327" s="2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6.5" customHeight="1">
      <c r="A328" s="70"/>
      <c r="B328" s="70"/>
      <c r="C328" s="71"/>
      <c r="D328" s="72"/>
      <c r="E328" s="73"/>
      <c r="F328" s="87"/>
      <c r="G328" s="2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6.5" customHeight="1">
      <c r="A329" s="100"/>
      <c r="B329" s="100"/>
      <c r="C329" s="64"/>
      <c r="D329" s="65"/>
      <c r="E329" s="66"/>
      <c r="F329" s="87"/>
      <c r="G329" s="2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6.5" customHeight="1">
      <c r="A330" s="70"/>
      <c r="B330" s="70"/>
      <c r="C330" s="71"/>
      <c r="D330" s="72"/>
      <c r="E330" s="73"/>
      <c r="F330" s="87"/>
      <c r="G330" s="2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6.5" customHeight="1">
      <c r="A331" s="63"/>
      <c r="B331" s="63"/>
      <c r="C331" s="64"/>
      <c r="D331" s="65"/>
      <c r="E331" s="66"/>
      <c r="F331" s="87"/>
      <c r="G331" s="2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6.5" customHeight="1">
      <c r="A332" s="70"/>
      <c r="B332" s="70"/>
      <c r="C332" s="71"/>
      <c r="D332" s="72"/>
      <c r="E332" s="73"/>
      <c r="F332" s="87"/>
      <c r="G332" s="2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6.5" customHeight="1">
      <c r="A333" s="63"/>
      <c r="B333" s="63"/>
      <c r="C333" s="64"/>
      <c r="D333" s="65"/>
      <c r="E333" s="66"/>
      <c r="F333" s="104"/>
      <c r="G333" s="2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6.5" customHeight="1">
      <c r="A334" s="70"/>
      <c r="B334" s="70"/>
      <c r="C334" s="71"/>
      <c r="D334" s="72"/>
      <c r="E334" s="73"/>
      <c r="F334" s="68">
        <f t="array" ref="F334">SUM(D292:D337)</f>
        <v>0</v>
      </c>
      <c r="G334" s="6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6.5" customHeight="1">
      <c r="A335" s="63"/>
      <c r="B335" s="63"/>
      <c r="C335" s="64"/>
      <c r="D335" s="65"/>
      <c r="E335" s="66"/>
      <c r="F335" s="45">
        <f t="array" ref="F335">SUM(E292:E337)</f>
        <v>0</v>
      </c>
      <c r="G335" s="7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6.5" customHeight="1">
      <c r="A336" s="70"/>
      <c r="B336" s="70"/>
      <c r="C336" s="71"/>
      <c r="D336" s="72"/>
      <c r="E336" s="73"/>
      <c r="F336" s="121" t="s">
        <v>118</v>
      </c>
      <c r="G336" s="48">
        <f t="array" ref="G336">F335-F334</f>
        <v>0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6.5" customHeight="1">
      <c r="A337" s="63"/>
      <c r="B337" s="63"/>
      <c r="C337" s="64"/>
      <c r="D337" s="65"/>
      <c r="E337" s="66"/>
      <c r="F337" s="123" t="s">
        <v>119</v>
      </c>
      <c r="G337" s="107">
        <f t="array" ref="G337">SUM(C292:C337)</f>
        <v>0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6.5" customHeight="1">
      <c r="A338" s="70"/>
      <c r="B338" s="70"/>
      <c r="C338" s="71"/>
      <c r="D338" s="72"/>
      <c r="E338" s="73"/>
      <c r="F338" s="92"/>
      <c r="G338" s="8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6.5" customHeight="1">
      <c r="A339" s="63"/>
      <c r="B339" s="63"/>
      <c r="C339" s="64"/>
      <c r="D339" s="65"/>
      <c r="E339" s="66"/>
      <c r="F339" s="87"/>
      <c r="G339" s="2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6.5" customHeight="1">
      <c r="A340" s="70"/>
      <c r="B340" s="70"/>
      <c r="C340" s="71"/>
      <c r="D340" s="72"/>
      <c r="E340" s="73"/>
      <c r="F340" s="87"/>
      <c r="G340" s="2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6.5" customHeight="1">
      <c r="A341" s="100"/>
      <c r="B341" s="100"/>
      <c r="C341" s="64"/>
      <c r="D341" s="65"/>
      <c r="E341" s="66"/>
      <c r="F341" s="87"/>
      <c r="G341" s="2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6.5" customHeight="1">
      <c r="A342" s="70"/>
      <c r="B342" s="70"/>
      <c r="C342" s="71"/>
      <c r="D342" s="72"/>
      <c r="E342" s="73"/>
      <c r="F342" s="87"/>
      <c r="G342" s="2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6.5" customHeight="1">
      <c r="A343" s="63"/>
      <c r="B343" s="63"/>
      <c r="C343" s="64"/>
      <c r="D343" s="65"/>
      <c r="E343" s="66"/>
      <c r="F343" s="87"/>
      <c r="G343" s="2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6.5" customHeight="1">
      <c r="A344" s="70"/>
      <c r="B344" s="70"/>
      <c r="C344" s="71"/>
      <c r="D344" s="72"/>
      <c r="E344" s="73"/>
      <c r="F344" s="87"/>
      <c r="G344" s="2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6.5" customHeight="1">
      <c r="A345" s="63"/>
      <c r="B345" s="63"/>
      <c r="C345" s="64"/>
      <c r="D345" s="65"/>
      <c r="E345" s="66"/>
      <c r="F345" s="87"/>
      <c r="G345" s="2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6.5" customHeight="1">
      <c r="A346" s="70"/>
      <c r="B346" s="70"/>
      <c r="C346" s="71"/>
      <c r="D346" s="72"/>
      <c r="E346" s="73"/>
      <c r="F346" s="87"/>
      <c r="G346" s="2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6.5" customHeight="1">
      <c r="A347" s="63"/>
      <c r="B347" s="63"/>
      <c r="C347" s="64"/>
      <c r="D347" s="65"/>
      <c r="E347" s="66"/>
      <c r="F347" s="87"/>
      <c r="G347" s="2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6.5" customHeight="1">
      <c r="A348" s="70"/>
      <c r="B348" s="70"/>
      <c r="C348" s="71"/>
      <c r="D348" s="72"/>
      <c r="E348" s="73"/>
      <c r="F348" s="87"/>
      <c r="G348" s="2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8.75" customHeight="1">
      <c r="A349" s="63"/>
      <c r="B349" s="63"/>
      <c r="C349" s="64"/>
      <c r="D349" s="65"/>
      <c r="E349" s="66"/>
      <c r="F349" s="87"/>
      <c r="G349" s="2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6.5" customHeight="1">
      <c r="A350" s="70"/>
      <c r="B350" s="70"/>
      <c r="C350" s="71"/>
      <c r="D350" s="72"/>
      <c r="E350" s="73"/>
      <c r="F350" s="87"/>
      <c r="G350" s="2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6.5" customHeight="1">
      <c r="A351" s="63"/>
      <c r="B351" s="63"/>
      <c r="C351" s="64"/>
      <c r="D351" s="65"/>
      <c r="E351" s="66"/>
      <c r="F351" s="87"/>
      <c r="G351" s="2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6.5" customHeight="1">
      <c r="A352" s="70"/>
      <c r="B352" s="70"/>
      <c r="C352" s="71"/>
      <c r="D352" s="72"/>
      <c r="E352" s="73"/>
      <c r="F352" s="87"/>
      <c r="G352" s="2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6.5" customHeight="1">
      <c r="A353" s="63"/>
      <c r="B353" s="63"/>
      <c r="C353" s="64"/>
      <c r="D353" s="65"/>
      <c r="E353" s="66"/>
      <c r="F353" s="87"/>
      <c r="G353" s="2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6.5" customHeight="1">
      <c r="A354" s="70"/>
      <c r="B354" s="70"/>
      <c r="C354" s="71"/>
      <c r="D354" s="72"/>
      <c r="E354" s="73"/>
      <c r="F354" s="87"/>
      <c r="G354" s="2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6.5" customHeight="1">
      <c r="A355" s="63"/>
      <c r="B355" s="63"/>
      <c r="C355" s="64"/>
      <c r="D355" s="65"/>
      <c r="E355" s="66"/>
      <c r="F355" s="87"/>
      <c r="G355" s="2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6.5" customHeight="1">
      <c r="A356" s="70"/>
      <c r="B356" s="70"/>
      <c r="C356" s="71"/>
      <c r="D356" s="72"/>
      <c r="E356" s="73"/>
      <c r="F356" s="87"/>
      <c r="G356" s="2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6.5" customHeight="1">
      <c r="A357" s="63"/>
      <c r="B357" s="63"/>
      <c r="C357" s="64"/>
      <c r="D357" s="65"/>
      <c r="E357" s="66"/>
      <c r="F357" s="87"/>
      <c r="G357" s="2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6.5" customHeight="1">
      <c r="A358" s="70"/>
      <c r="B358" s="70"/>
      <c r="C358" s="71"/>
      <c r="D358" s="72"/>
      <c r="E358" s="73"/>
      <c r="F358" s="87"/>
      <c r="G358" s="2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6.5" customHeight="1">
      <c r="A359" s="63"/>
      <c r="B359" s="63"/>
      <c r="C359" s="64"/>
      <c r="D359" s="65"/>
      <c r="E359" s="66"/>
      <c r="F359" s="87"/>
      <c r="G359" s="2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6.5" customHeight="1">
      <c r="A360" s="70"/>
      <c r="B360" s="70"/>
      <c r="C360" s="71"/>
      <c r="D360" s="72"/>
      <c r="E360" s="73"/>
      <c r="F360" s="87"/>
      <c r="G360" s="2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6.5" customHeight="1">
      <c r="A361" s="63"/>
      <c r="B361" s="63"/>
      <c r="C361" s="64"/>
      <c r="D361" s="65"/>
      <c r="E361" s="66"/>
      <c r="F361" s="87"/>
      <c r="G361" s="2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6.5" customHeight="1">
      <c r="A362" s="70"/>
      <c r="B362" s="70"/>
      <c r="C362" s="71"/>
      <c r="D362" s="72"/>
      <c r="E362" s="73"/>
      <c r="F362" s="87"/>
      <c r="G362" s="2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6.5" customHeight="1">
      <c r="A363" s="63"/>
      <c r="B363" s="63"/>
      <c r="C363" s="64"/>
      <c r="D363" s="65"/>
      <c r="E363" s="66"/>
      <c r="F363" s="87"/>
      <c r="G363" s="2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6.5" customHeight="1">
      <c r="A364" s="70"/>
      <c r="B364" s="70"/>
      <c r="C364" s="71"/>
      <c r="D364" s="72"/>
      <c r="E364" s="73"/>
      <c r="F364" s="87"/>
      <c r="G364" s="2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6.5" customHeight="1">
      <c r="A365" s="63"/>
      <c r="B365" s="63"/>
      <c r="C365" s="64"/>
      <c r="D365" s="65"/>
      <c r="E365" s="66"/>
      <c r="F365" s="87"/>
      <c r="G365" s="2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6.5" customHeight="1">
      <c r="A366" s="70"/>
      <c r="B366" s="70"/>
      <c r="C366" s="71"/>
      <c r="D366" s="72"/>
      <c r="E366" s="73"/>
      <c r="F366" s="87"/>
      <c r="G366" s="2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6.5" customHeight="1">
      <c r="A367" s="63"/>
      <c r="B367" s="63"/>
      <c r="C367" s="64"/>
      <c r="D367" s="65"/>
      <c r="E367" s="66"/>
      <c r="F367" s="87"/>
      <c r="G367" s="2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6.5" customHeight="1">
      <c r="A368" s="70"/>
      <c r="B368" s="70"/>
      <c r="C368" s="71"/>
      <c r="D368" s="72"/>
      <c r="E368" s="73"/>
      <c r="F368" s="87"/>
      <c r="G368" s="2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6.5" customHeight="1">
      <c r="A369" s="63"/>
      <c r="B369" s="63"/>
      <c r="C369" s="64"/>
      <c r="D369" s="65"/>
      <c r="E369" s="66"/>
      <c r="F369" s="87"/>
      <c r="G369" s="2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6.5" customHeight="1">
      <c r="A370" s="70"/>
      <c r="B370" s="70"/>
      <c r="C370" s="71"/>
      <c r="D370" s="72"/>
      <c r="E370" s="73"/>
      <c r="F370" s="87"/>
      <c r="G370" s="2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6.5" customHeight="1">
      <c r="A371" s="63"/>
      <c r="B371" s="63"/>
      <c r="C371" s="64"/>
      <c r="D371" s="65"/>
      <c r="E371" s="66"/>
      <c r="F371" s="87"/>
      <c r="G371" s="2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6.5" customHeight="1">
      <c r="A372" s="70"/>
      <c r="B372" s="70"/>
      <c r="C372" s="71"/>
      <c r="D372" s="72"/>
      <c r="E372" s="73"/>
      <c r="F372" s="87"/>
      <c r="G372" s="2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6.5" customHeight="1">
      <c r="A373" s="63"/>
      <c r="B373" s="63"/>
      <c r="C373" s="64"/>
      <c r="D373" s="65"/>
      <c r="E373" s="66"/>
      <c r="F373" s="87"/>
      <c r="G373" s="2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9.5" customHeight="1">
      <c r="A374" s="70"/>
      <c r="B374" s="70"/>
      <c r="C374" s="71"/>
      <c r="D374" s="72"/>
      <c r="E374" s="73"/>
      <c r="F374" s="87"/>
      <c r="G374" s="2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6.5" customHeight="1">
      <c r="A375" s="63"/>
      <c r="B375" s="63"/>
      <c r="C375" s="64"/>
      <c r="D375" s="65"/>
      <c r="E375" s="66"/>
      <c r="F375" s="87"/>
      <c r="G375" s="9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6.5" customHeight="1">
      <c r="A376" s="70"/>
      <c r="B376" s="70"/>
      <c r="C376" s="71"/>
      <c r="D376" s="72"/>
      <c r="E376" s="73"/>
      <c r="F376" s="87"/>
      <c r="G376" s="9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6.5" customHeight="1">
      <c r="A377" s="63"/>
      <c r="B377" s="63"/>
      <c r="C377" s="64"/>
      <c r="D377" s="65"/>
      <c r="E377" s="66"/>
      <c r="F377" s="11"/>
      <c r="G377" s="9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6.5" customHeight="1">
      <c r="A378" s="70"/>
      <c r="B378" s="70"/>
      <c r="C378" s="71"/>
      <c r="D378" s="72"/>
      <c r="E378" s="73"/>
      <c r="F378" s="11"/>
      <c r="G378" s="9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6.5" customHeight="1">
      <c r="A379" s="64"/>
      <c r="B379" s="64"/>
      <c r="C379" s="64"/>
      <c r="D379" s="65"/>
      <c r="E379" s="66"/>
      <c r="F379" s="11"/>
      <c r="G379" s="9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6.5" customHeight="1">
      <c r="A380" s="71"/>
      <c r="B380" s="71"/>
      <c r="C380" s="71"/>
      <c r="D380" s="72"/>
      <c r="E380" s="73"/>
      <c r="F380" s="11"/>
      <c r="G380" s="9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6.5" customHeight="1">
      <c r="A381" s="64"/>
      <c r="B381" s="64"/>
      <c r="C381" s="64"/>
      <c r="D381" s="65"/>
      <c r="E381" s="66"/>
      <c r="F381" s="11"/>
      <c r="G381" s="9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6.5" customHeight="1">
      <c r="A382" s="71"/>
      <c r="B382" s="71"/>
      <c r="C382" s="71"/>
      <c r="D382" s="72"/>
      <c r="E382" s="73"/>
      <c r="F382" s="11"/>
      <c r="G382" s="9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6.5" customHeight="1">
      <c r="A383" s="64"/>
      <c r="B383" s="64"/>
      <c r="C383" s="64"/>
      <c r="D383" s="65"/>
      <c r="E383" s="66"/>
      <c r="F383" s="11"/>
      <c r="G383" s="9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6.5" customHeight="1">
      <c r="A384" s="71"/>
      <c r="B384" s="71"/>
      <c r="C384" s="71"/>
      <c r="D384" s="72"/>
      <c r="E384" s="73"/>
      <c r="F384" s="87"/>
      <c r="G384" s="9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6.5" customHeight="1">
      <c r="A385" s="64"/>
      <c r="B385" s="64"/>
      <c r="C385" s="64"/>
      <c r="D385" s="65"/>
      <c r="E385" s="66"/>
      <c r="F385" s="87"/>
      <c r="G385" s="9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6.5" customHeight="1">
      <c r="A386" s="71"/>
      <c r="B386" s="71"/>
      <c r="C386" s="71"/>
      <c r="D386" s="72"/>
      <c r="E386" s="73"/>
      <c r="F386" s="87"/>
      <c r="G386" s="2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6.5" customHeight="1">
      <c r="A387" s="64"/>
      <c r="B387" s="64"/>
      <c r="C387" s="64"/>
      <c r="D387" s="65"/>
      <c r="E387" s="66"/>
      <c r="F387" s="87"/>
      <c r="G387" s="2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6.5" customHeight="1">
      <c r="A388" s="71"/>
      <c r="B388" s="71"/>
      <c r="C388" s="71"/>
      <c r="D388" s="72"/>
      <c r="E388" s="73"/>
      <c r="F388" s="87"/>
      <c r="G388" s="2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6.5" customHeight="1">
      <c r="A389" s="64"/>
      <c r="B389" s="64"/>
      <c r="C389" s="64"/>
      <c r="D389" s="65"/>
      <c r="E389" s="66"/>
      <c r="F389" s="87"/>
      <c r="G389" s="2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6.5" customHeight="1">
      <c r="A390" s="71"/>
      <c r="B390" s="71"/>
      <c r="C390" s="71"/>
      <c r="D390" s="72"/>
      <c r="E390" s="73"/>
      <c r="F390" s="87"/>
      <c r="G390" s="2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6.5" customHeight="1">
      <c r="A391" s="64"/>
      <c r="B391" s="64"/>
      <c r="C391" s="64"/>
      <c r="D391" s="65"/>
      <c r="E391" s="66"/>
      <c r="F391" s="87"/>
      <c r="G391" s="2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6.5" customHeight="1">
      <c r="A392" s="71"/>
      <c r="B392" s="71"/>
      <c r="C392" s="71"/>
      <c r="D392" s="72"/>
      <c r="E392" s="73"/>
      <c r="F392" s="87"/>
      <c r="G392" s="2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6.5" customHeight="1">
      <c r="A393" s="64"/>
      <c r="B393" s="64"/>
      <c r="C393" s="64"/>
      <c r="D393" s="65"/>
      <c r="E393" s="66"/>
      <c r="F393" s="87"/>
      <c r="G393" s="2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6.5" customHeight="1">
      <c r="A394" s="71"/>
      <c r="B394" s="71"/>
      <c r="C394" s="71"/>
      <c r="D394" s="72"/>
      <c r="E394" s="73"/>
      <c r="F394" s="87"/>
      <c r="G394" s="2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6.5" customHeight="1">
      <c r="A395" s="64"/>
      <c r="B395" s="64"/>
      <c r="C395" s="64"/>
      <c r="D395" s="65"/>
      <c r="E395" s="66"/>
      <c r="F395" s="68">
        <f>SUM(D338:D398)</f>
        <v>0</v>
      </c>
      <c r="G395" s="6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6.5" customHeight="1">
      <c r="A396" s="71"/>
      <c r="B396" s="71"/>
      <c r="C396" s="71"/>
      <c r="D396" s="72"/>
      <c r="E396" s="73"/>
      <c r="F396" s="45">
        <f>SUM(E338:E398)</f>
        <v>0</v>
      </c>
      <c r="G396" s="7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6.5" customHeight="1">
      <c r="A397" s="64"/>
      <c r="B397" s="64"/>
      <c r="C397" s="64"/>
      <c r="D397" s="65"/>
      <c r="E397" s="66"/>
      <c r="F397" s="121" t="s">
        <v>120</v>
      </c>
      <c r="G397" s="48">
        <f t="array" ref="G397">F396-F395</f>
        <v>0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6.5" customHeight="1">
      <c r="A398" s="71"/>
      <c r="B398" s="71"/>
      <c r="C398" s="71"/>
      <c r="D398" s="72"/>
      <c r="E398" s="73"/>
      <c r="F398" s="123" t="s">
        <v>119</v>
      </c>
      <c r="G398" s="107">
        <f>SUM(C338:C398)</f>
        <v>0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6.5" customHeight="1">
      <c r="A399" s="64"/>
      <c r="B399" s="64"/>
      <c r="C399" s="64"/>
      <c r="D399" s="65"/>
      <c r="E399" s="66"/>
      <c r="F399" s="87"/>
      <c r="G399" s="2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6.5" customHeight="1">
      <c r="A400" s="71"/>
      <c r="B400" s="71"/>
      <c r="C400" s="71"/>
      <c r="D400" s="72"/>
      <c r="E400" s="73"/>
      <c r="F400" s="87"/>
      <c r="G400" s="2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6.5" customHeight="1">
      <c r="A401" s="64"/>
      <c r="B401" s="64"/>
      <c r="C401" s="64"/>
      <c r="D401" s="65"/>
      <c r="E401" s="66"/>
      <c r="F401" s="87"/>
      <c r="G401" s="2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6.5" customHeight="1">
      <c r="A402" s="71"/>
      <c r="B402" s="71"/>
      <c r="C402" s="71"/>
      <c r="D402" s="72"/>
      <c r="E402" s="73"/>
      <c r="F402" s="87"/>
      <c r="G402" s="2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6.5" customHeight="1">
      <c r="A403" s="64"/>
      <c r="B403" s="64"/>
      <c r="C403" s="64"/>
      <c r="D403" s="65"/>
      <c r="E403" s="66"/>
      <c r="F403" s="87"/>
      <c r="G403" s="2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6.5" customHeight="1">
      <c r="A404" s="71"/>
      <c r="B404" s="71"/>
      <c r="C404" s="71"/>
      <c r="D404" s="72"/>
      <c r="E404" s="73"/>
      <c r="F404" s="87"/>
      <c r="G404" s="2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6.5" customHeight="1">
      <c r="A405" s="64"/>
      <c r="B405" s="64"/>
      <c r="C405" s="64"/>
      <c r="D405" s="65"/>
      <c r="E405" s="66"/>
      <c r="F405" s="87"/>
      <c r="G405" s="2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6.5" customHeight="1">
      <c r="A406" s="64"/>
      <c r="B406" s="64"/>
      <c r="C406" s="64"/>
      <c r="D406" s="65"/>
      <c r="E406" s="73"/>
      <c r="F406" s="87"/>
      <c r="G406" s="2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6.5" customHeight="1">
      <c r="A407" s="64"/>
      <c r="B407" s="64"/>
      <c r="C407" s="64"/>
      <c r="D407" s="65"/>
      <c r="E407" s="66"/>
      <c r="F407" s="87"/>
      <c r="G407" s="2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6.5" customHeight="1">
      <c r="A408" s="71"/>
      <c r="B408" s="71"/>
      <c r="C408" s="71"/>
      <c r="D408" s="72"/>
      <c r="E408" s="73"/>
      <c r="F408" s="87"/>
      <c r="G408" s="2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6.5" customHeight="1">
      <c r="A409" s="64"/>
      <c r="B409" s="64"/>
      <c r="C409" s="64"/>
      <c r="D409" s="65"/>
      <c r="E409" s="66"/>
      <c r="F409" s="87"/>
      <c r="G409" s="2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6.5" customHeight="1">
      <c r="A410" s="71"/>
      <c r="B410" s="71"/>
      <c r="C410" s="71"/>
      <c r="D410" s="72"/>
      <c r="E410" s="73"/>
      <c r="F410" s="87"/>
      <c r="G410" s="2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6.5" customHeight="1">
      <c r="A411" s="64"/>
      <c r="B411" s="64"/>
      <c r="C411" s="64"/>
      <c r="D411" s="65"/>
      <c r="E411" s="66"/>
      <c r="F411" s="87"/>
      <c r="G411" s="2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6.5" customHeight="1">
      <c r="A412" s="71"/>
      <c r="B412" s="71"/>
      <c r="C412" s="71"/>
      <c r="D412" s="72"/>
      <c r="E412" s="73"/>
      <c r="F412" s="87"/>
      <c r="G412" s="2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6.5" customHeight="1">
      <c r="A413" s="64"/>
      <c r="B413" s="64"/>
      <c r="C413" s="64"/>
      <c r="D413" s="65"/>
      <c r="E413" s="66"/>
      <c r="F413" s="87"/>
      <c r="G413" s="2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6.5" customHeight="1">
      <c r="A414" s="71"/>
      <c r="B414" s="71"/>
      <c r="C414" s="71"/>
      <c r="D414" s="72"/>
      <c r="E414" s="73"/>
      <c r="F414" s="87"/>
      <c r="G414" s="2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6.5" customHeight="1">
      <c r="A415" s="64"/>
      <c r="B415" s="64"/>
      <c r="C415" s="64"/>
      <c r="D415" s="65"/>
      <c r="E415" s="66"/>
      <c r="F415" s="87"/>
      <c r="G415" s="2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6.5" customHeight="1">
      <c r="A416" s="71"/>
      <c r="B416" s="71"/>
      <c r="C416" s="71"/>
      <c r="D416" s="72"/>
      <c r="E416" s="73"/>
      <c r="F416" s="87"/>
      <c r="G416" s="2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6.5" customHeight="1">
      <c r="A417" s="64"/>
      <c r="B417" s="64"/>
      <c r="C417" s="64"/>
      <c r="D417" s="65"/>
      <c r="E417" s="66"/>
      <c r="F417" s="87"/>
      <c r="G417" s="2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6.5" customHeight="1">
      <c r="A418" s="71"/>
      <c r="B418" s="71"/>
      <c r="C418" s="71"/>
      <c r="D418" s="72"/>
      <c r="E418" s="73"/>
      <c r="F418" s="87"/>
      <c r="G418" s="2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6.5" customHeight="1">
      <c r="A419" s="64"/>
      <c r="B419" s="64"/>
      <c r="C419" s="64"/>
      <c r="D419" s="65"/>
      <c r="E419" s="66"/>
      <c r="F419" s="87"/>
      <c r="G419" s="2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6.5" customHeight="1">
      <c r="A420" s="71"/>
      <c r="B420" s="71"/>
      <c r="C420" s="71"/>
      <c r="D420" s="72"/>
      <c r="E420" s="73"/>
      <c r="F420" s="87"/>
      <c r="G420" s="2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6.5" customHeight="1">
      <c r="A421" s="64"/>
      <c r="B421" s="64"/>
      <c r="C421" s="64"/>
      <c r="D421" s="65"/>
      <c r="E421" s="66"/>
      <c r="F421" s="87"/>
      <c r="G421" s="2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6.5" customHeight="1">
      <c r="A422" s="71"/>
      <c r="B422" s="71"/>
      <c r="C422" s="71"/>
      <c r="D422" s="72"/>
      <c r="E422" s="73"/>
      <c r="F422" s="87"/>
      <c r="G422" s="2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6.5" customHeight="1">
      <c r="A423" s="64"/>
      <c r="B423" s="64"/>
      <c r="C423" s="64"/>
      <c r="D423" s="65"/>
      <c r="E423" s="66"/>
      <c r="F423" s="87"/>
      <c r="G423" s="2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6.5" customHeight="1">
      <c r="A424" s="71"/>
      <c r="B424" s="71"/>
      <c r="C424" s="71"/>
      <c r="D424" s="72"/>
      <c r="E424" s="73"/>
      <c r="F424" s="87"/>
      <c r="G424" s="2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6.5" customHeight="1">
      <c r="A425" s="64"/>
      <c r="B425" s="64"/>
      <c r="C425" s="64"/>
      <c r="D425" s="65"/>
      <c r="E425" s="66"/>
      <c r="F425" s="87"/>
      <c r="G425" s="2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6.5" customHeight="1">
      <c r="A426" s="71"/>
      <c r="B426" s="71"/>
      <c r="C426" s="71"/>
      <c r="D426" s="72"/>
      <c r="E426" s="73"/>
      <c r="F426" s="87"/>
      <c r="G426" s="2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6.5" customHeight="1">
      <c r="A427" s="64"/>
      <c r="B427" s="64"/>
      <c r="C427" s="64"/>
      <c r="D427" s="65"/>
      <c r="E427" s="66"/>
      <c r="F427" s="87"/>
      <c r="G427" s="2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6.5" customHeight="1">
      <c r="A428" s="71"/>
      <c r="B428" s="71"/>
      <c r="C428" s="71"/>
      <c r="D428" s="72"/>
      <c r="E428" s="73"/>
      <c r="F428" s="87"/>
      <c r="G428" s="2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6.5" customHeight="1">
      <c r="A429" s="64"/>
      <c r="B429" s="64"/>
      <c r="C429" s="64"/>
      <c r="D429" s="65"/>
      <c r="E429" s="66"/>
      <c r="F429" s="87"/>
      <c r="G429" s="2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6.5" customHeight="1">
      <c r="A430" s="71"/>
      <c r="B430" s="71"/>
      <c r="C430" s="71"/>
      <c r="D430" s="72"/>
      <c r="E430" s="73"/>
      <c r="F430" s="87"/>
      <c r="G430" s="2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6.5" customHeight="1">
      <c r="A431" s="64"/>
      <c r="B431" s="64"/>
      <c r="C431" s="64"/>
      <c r="D431" s="65"/>
      <c r="E431" s="66"/>
      <c r="F431" s="87"/>
      <c r="G431" s="2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6.5" customHeight="1">
      <c r="A432" s="71"/>
      <c r="B432" s="71"/>
      <c r="C432" s="71"/>
      <c r="D432" s="72"/>
      <c r="E432" s="73"/>
      <c r="F432" s="68">
        <f>SUM(D399:D435)</f>
        <v>0</v>
      </c>
      <c r="G432" s="6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6.5" customHeight="1">
      <c r="A433" s="64"/>
      <c r="B433" s="64"/>
      <c r="C433" s="64"/>
      <c r="D433" s="65"/>
      <c r="E433" s="66"/>
      <c r="F433" s="45">
        <f>SUM(E399:E435)</f>
        <v>0</v>
      </c>
      <c r="G433" s="7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6.5" customHeight="1">
      <c r="A434" s="64"/>
      <c r="B434" s="64"/>
      <c r="C434" s="64"/>
      <c r="D434" s="65"/>
      <c r="E434" s="66"/>
      <c r="F434" s="121" t="s">
        <v>96</v>
      </c>
      <c r="G434" s="48">
        <f t="array" ref="G434">F433-F432</f>
        <v>0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6.5" customHeight="1">
      <c r="A435" s="64"/>
      <c r="B435" s="64"/>
      <c r="C435" s="64"/>
      <c r="D435" s="65"/>
      <c r="E435" s="66"/>
      <c r="F435" s="123" t="s">
        <v>119</v>
      </c>
      <c r="G435" s="107">
        <f>SUM(C399:C435)</f>
        <v>0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6.5" customHeight="1">
      <c r="A436" s="64"/>
      <c r="B436" s="64"/>
      <c r="C436" s="64"/>
      <c r="D436" s="65"/>
      <c r="E436" s="66"/>
      <c r="F436" s="87"/>
      <c r="G436" s="2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6.5" customHeight="1">
      <c r="A437" s="64"/>
      <c r="B437" s="64"/>
      <c r="C437" s="64"/>
      <c r="D437" s="65"/>
      <c r="E437" s="66"/>
      <c r="F437" s="87"/>
      <c r="G437" s="2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6.5" customHeight="1">
      <c r="A438" s="64"/>
      <c r="B438" s="64"/>
      <c r="C438" s="64"/>
      <c r="D438" s="65"/>
      <c r="E438" s="66"/>
      <c r="F438" s="87"/>
      <c r="G438" s="2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6.5" customHeight="1">
      <c r="A439" s="64"/>
      <c r="B439" s="64"/>
      <c r="C439" s="64"/>
      <c r="D439" s="65"/>
      <c r="E439" s="66"/>
      <c r="F439" s="87"/>
      <c r="G439" s="2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6.5" customHeight="1">
      <c r="A440" s="64"/>
      <c r="B440" s="64"/>
      <c r="C440" s="64"/>
      <c r="D440" s="65"/>
      <c r="E440" s="66"/>
      <c r="F440" s="87"/>
      <c r="G440" s="2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6.5" customHeight="1">
      <c r="A441" s="64"/>
      <c r="B441" s="64"/>
      <c r="C441" s="64"/>
      <c r="D441" s="65"/>
      <c r="E441" s="66"/>
      <c r="F441" s="87"/>
      <c r="G441" s="2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6.5" customHeight="1">
      <c r="A442" s="71"/>
      <c r="B442" s="71"/>
      <c r="C442" s="71"/>
      <c r="D442" s="72"/>
      <c r="E442" s="73"/>
      <c r="F442" s="87"/>
      <c r="G442" s="2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6.5" customHeight="1">
      <c r="A443" s="71"/>
      <c r="B443" s="71"/>
      <c r="C443" s="71"/>
      <c r="D443" s="72"/>
      <c r="E443" s="73"/>
      <c r="F443" s="87"/>
      <c r="G443" s="2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6.5" customHeight="1">
      <c r="A444" s="71"/>
      <c r="B444" s="71"/>
      <c r="C444" s="71"/>
      <c r="D444" s="72"/>
      <c r="E444" s="73"/>
      <c r="F444" s="87"/>
      <c r="G444" s="2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6.5" customHeight="1">
      <c r="A445" s="71"/>
      <c r="B445" s="71"/>
      <c r="C445" s="71"/>
      <c r="D445" s="72"/>
      <c r="E445" s="73"/>
      <c r="F445" s="87"/>
      <c r="G445" s="2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6.5" customHeight="1">
      <c r="A446" s="71"/>
      <c r="B446" s="71"/>
      <c r="C446" s="71"/>
      <c r="D446" s="72"/>
      <c r="E446" s="73"/>
      <c r="F446" s="87"/>
      <c r="G446" s="2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6.5" customHeight="1">
      <c r="A447" s="71"/>
      <c r="B447" s="71"/>
      <c r="C447" s="71"/>
      <c r="D447" s="72"/>
      <c r="E447" s="73"/>
      <c r="F447" s="87"/>
      <c r="G447" s="2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6.5" customHeight="1">
      <c r="A448" s="71"/>
      <c r="B448" s="71"/>
      <c r="C448" s="71"/>
      <c r="D448" s="72"/>
      <c r="E448" s="73"/>
      <c r="F448" s="87"/>
      <c r="G448" s="2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6.5" customHeight="1">
      <c r="A449" s="71"/>
      <c r="B449" s="71"/>
      <c r="C449" s="71"/>
      <c r="D449" s="72"/>
      <c r="E449" s="73"/>
      <c r="F449" s="87"/>
      <c r="G449" s="2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6.5" customHeight="1">
      <c r="A450" s="71"/>
      <c r="B450" s="71"/>
      <c r="C450" s="71"/>
      <c r="D450" s="72"/>
      <c r="E450" s="73"/>
      <c r="F450" s="87"/>
      <c r="G450" s="2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6.5" customHeight="1">
      <c r="A451" s="71"/>
      <c r="B451" s="71"/>
      <c r="C451" s="71"/>
      <c r="D451" s="72"/>
      <c r="E451" s="73"/>
      <c r="F451" s="87"/>
      <c r="G451" s="2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6.5" customHeight="1">
      <c r="A452" s="71"/>
      <c r="B452" s="71"/>
      <c r="C452" s="71"/>
      <c r="D452" s="72"/>
      <c r="E452" s="73"/>
      <c r="F452" s="87"/>
      <c r="G452" s="2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6.5" customHeight="1">
      <c r="A453" s="71"/>
      <c r="B453" s="71"/>
      <c r="C453" s="71"/>
      <c r="D453" s="72"/>
      <c r="E453" s="73"/>
      <c r="F453" s="87"/>
      <c r="G453" s="2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6.5" customHeight="1">
      <c r="A454" s="71"/>
      <c r="B454" s="71"/>
      <c r="C454" s="71"/>
      <c r="D454" s="72"/>
      <c r="E454" s="73"/>
      <c r="F454" s="87"/>
      <c r="G454" s="2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6.5" customHeight="1">
      <c r="A455" s="71"/>
      <c r="B455" s="71"/>
      <c r="C455" s="71"/>
      <c r="D455" s="72"/>
      <c r="E455" s="73"/>
      <c r="F455" s="87"/>
      <c r="G455" s="2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6.5" customHeight="1">
      <c r="A456" s="71"/>
      <c r="B456" s="71"/>
      <c r="C456" s="71"/>
      <c r="D456" s="72"/>
      <c r="E456" s="73"/>
      <c r="F456" s="87"/>
      <c r="G456" s="2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6.5" customHeight="1">
      <c r="A457" s="71"/>
      <c r="B457" s="71"/>
      <c r="C457" s="71"/>
      <c r="D457" s="72"/>
      <c r="E457" s="73"/>
      <c r="F457" s="87"/>
      <c r="G457" s="2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6.5" customHeight="1">
      <c r="A458" s="71"/>
      <c r="B458" s="71"/>
      <c r="C458" s="71"/>
      <c r="D458" s="72"/>
      <c r="E458" s="73"/>
      <c r="F458" s="87"/>
      <c r="G458" s="2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6.5" customHeight="1">
      <c r="A459" s="71"/>
      <c r="B459" s="71"/>
      <c r="C459" s="71"/>
      <c r="D459" s="72"/>
      <c r="E459" s="73"/>
      <c r="F459" s="87"/>
      <c r="G459" s="2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6.5" customHeight="1">
      <c r="A460" s="71"/>
      <c r="B460" s="71"/>
      <c r="C460" s="71"/>
      <c r="D460" s="72"/>
      <c r="E460" s="73"/>
      <c r="F460" s="87"/>
      <c r="G460" s="2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6.5" customHeight="1">
      <c r="A461" s="71"/>
      <c r="B461" s="71"/>
      <c r="C461" s="71"/>
      <c r="D461" s="72"/>
      <c r="E461" s="73"/>
      <c r="F461" s="87"/>
      <c r="G461" s="2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6.5" customHeight="1">
      <c r="A462" s="71"/>
      <c r="B462" s="71"/>
      <c r="C462" s="71"/>
      <c r="D462" s="72"/>
      <c r="E462" s="73"/>
      <c r="F462" s="87"/>
      <c r="G462" s="2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6.5" customHeight="1">
      <c r="A463" s="71"/>
      <c r="B463" s="71"/>
      <c r="C463" s="71"/>
      <c r="D463" s="72"/>
      <c r="E463" s="73"/>
      <c r="F463" s="87"/>
      <c r="G463" s="2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6.5" customHeight="1">
      <c r="A464" s="71"/>
      <c r="B464" s="71"/>
      <c r="C464" s="71"/>
      <c r="D464" s="72"/>
      <c r="E464" s="73"/>
      <c r="F464" s="87"/>
      <c r="G464" s="2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6.5" customHeight="1">
      <c r="A465" s="71"/>
      <c r="B465" s="71"/>
      <c r="C465" s="71"/>
      <c r="D465" s="72"/>
      <c r="E465" s="73"/>
      <c r="F465" s="87"/>
      <c r="G465" s="2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6.5" customHeight="1">
      <c r="A466" s="71"/>
      <c r="B466" s="71"/>
      <c r="C466" s="71"/>
      <c r="D466" s="72"/>
      <c r="E466" s="73"/>
      <c r="F466" s="87"/>
      <c r="G466" s="2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6.5" customHeight="1">
      <c r="A467" s="71"/>
      <c r="B467" s="71"/>
      <c r="C467" s="71"/>
      <c r="D467" s="72"/>
      <c r="E467" s="73"/>
      <c r="F467" s="87"/>
      <c r="G467" s="2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6.5" customHeight="1">
      <c r="A468" s="71"/>
      <c r="B468" s="71"/>
      <c r="C468" s="71"/>
      <c r="D468" s="72"/>
      <c r="E468" s="73"/>
      <c r="F468" s="87"/>
      <c r="G468" s="2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6.5" customHeight="1">
      <c r="A469" s="71"/>
      <c r="B469" s="71"/>
      <c r="C469" s="71"/>
      <c r="D469" s="72"/>
      <c r="E469" s="73"/>
      <c r="F469" s="87"/>
      <c r="G469" s="2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6.5" customHeight="1">
      <c r="A470" s="71"/>
      <c r="B470" s="71"/>
      <c r="C470" s="71"/>
      <c r="D470" s="72"/>
      <c r="E470" s="73"/>
      <c r="F470" s="87"/>
      <c r="G470" s="2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6.5" customHeight="1">
      <c r="A471" s="71"/>
      <c r="B471" s="71"/>
      <c r="C471" s="71"/>
      <c r="D471" s="72"/>
      <c r="E471" s="73"/>
      <c r="F471" s="87"/>
      <c r="G471" s="2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6.5" customHeight="1">
      <c r="A472" s="71"/>
      <c r="B472" s="71"/>
      <c r="C472" s="71"/>
      <c r="D472" s="72"/>
      <c r="E472" s="73"/>
      <c r="F472" s="87"/>
      <c r="G472" s="2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6.5" customHeight="1">
      <c r="A473" s="71"/>
      <c r="B473" s="71"/>
      <c r="C473" s="71"/>
      <c r="D473" s="72"/>
      <c r="E473" s="73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6.5" customHeight="1">
      <c r="A474" s="71"/>
      <c r="B474" s="71"/>
      <c r="C474" s="71"/>
      <c r="D474" s="72"/>
      <c r="E474" s="73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6.5" customHeight="1">
      <c r="A475" s="71"/>
      <c r="B475" s="71"/>
      <c r="C475" s="71"/>
      <c r="D475" s="72"/>
      <c r="E475" s="73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6.5" customHeight="1">
      <c r="A476" s="71"/>
      <c r="B476" s="71"/>
      <c r="C476" s="71"/>
      <c r="D476" s="72"/>
      <c r="E476" s="73"/>
      <c r="F476" s="68">
        <f>SUM(D436:D479)</f>
        <v>0</v>
      </c>
      <c r="G476" s="6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6.5" customHeight="1">
      <c r="A477" s="71"/>
      <c r="B477" s="71"/>
      <c r="C477" s="71"/>
      <c r="D477" s="72"/>
      <c r="E477" s="73"/>
      <c r="F477" s="45">
        <f>SUM(E436:E479)</f>
        <v>0</v>
      </c>
      <c r="G477" s="7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6.5" customHeight="1">
      <c r="A478" s="71"/>
      <c r="B478" s="71"/>
      <c r="C478" s="71"/>
      <c r="D478" s="72"/>
      <c r="E478" s="73"/>
      <c r="F478" s="121" t="s">
        <v>110</v>
      </c>
      <c r="G478" s="48">
        <f t="array" ref="G478">F477-F476</f>
        <v>0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6.5" customHeight="1">
      <c r="A479" s="71"/>
      <c r="B479" s="71"/>
      <c r="C479" s="71"/>
      <c r="D479" s="72"/>
      <c r="E479" s="73"/>
      <c r="F479" s="123" t="s">
        <v>119</v>
      </c>
      <c r="G479" s="107">
        <f>SUM(C436:C479)</f>
        <v>0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6.5" customHeight="1">
      <c r="A480" s="71"/>
      <c r="B480" s="71"/>
      <c r="C480" s="71"/>
      <c r="D480" s="72"/>
      <c r="E480" s="73"/>
      <c r="F480" s="87"/>
      <c r="G480" s="2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6.5" customHeight="1">
      <c r="A481" s="71"/>
      <c r="B481" s="71"/>
      <c r="C481" s="71"/>
      <c r="D481" s="72"/>
      <c r="E481" s="73"/>
      <c r="F481" s="87"/>
      <c r="G481" s="2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6.5" customHeight="1">
      <c r="A482" s="71"/>
      <c r="B482" s="71"/>
      <c r="C482" s="71"/>
      <c r="D482" s="72"/>
      <c r="E482" s="73"/>
      <c r="F482" s="87"/>
      <c r="G482" s="2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6.5" customHeight="1">
      <c r="A483" s="64"/>
      <c r="B483" s="64"/>
      <c r="C483" s="64"/>
      <c r="D483" s="65"/>
      <c r="E483" s="66"/>
      <c r="F483" s="87"/>
      <c r="G483" s="2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6.5" customHeight="1">
      <c r="A484" s="71"/>
      <c r="B484" s="71"/>
      <c r="C484" s="71"/>
      <c r="D484" s="72"/>
      <c r="E484" s="73"/>
      <c r="F484" s="87"/>
      <c r="G484" s="2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6.5" customHeight="1">
      <c r="A485" s="64"/>
      <c r="B485" s="64"/>
      <c r="C485" s="64"/>
      <c r="D485" s="65"/>
      <c r="E485" s="66"/>
      <c r="F485" s="87"/>
      <c r="G485" s="2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6.5" customHeight="1">
      <c r="A486" s="71"/>
      <c r="B486" s="71"/>
      <c r="C486" s="71"/>
      <c r="D486" s="72"/>
      <c r="E486" s="73"/>
      <c r="F486" s="87"/>
      <c r="G486" s="2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6.5" customHeight="1">
      <c r="A487" s="64"/>
      <c r="B487" s="64"/>
      <c r="C487" s="64"/>
      <c r="D487" s="65"/>
      <c r="E487" s="66"/>
      <c r="F487" s="87"/>
      <c r="G487" s="2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6.5" customHeight="1">
      <c r="A488" s="71"/>
      <c r="B488" s="71"/>
      <c r="C488" s="71"/>
      <c r="D488" s="72"/>
      <c r="E488" s="73"/>
      <c r="F488" s="87"/>
      <c r="G488" s="2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6.5" customHeight="1">
      <c r="A489" s="64"/>
      <c r="B489" s="64"/>
      <c r="C489" s="64"/>
      <c r="D489" s="65"/>
      <c r="E489" s="66"/>
      <c r="F489" s="87"/>
      <c r="G489" s="2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6.5" customHeight="1">
      <c r="A490" s="71"/>
      <c r="B490" s="71"/>
      <c r="C490" s="71"/>
      <c r="D490" s="72"/>
      <c r="E490" s="73"/>
      <c r="F490" s="87"/>
      <c r="G490" s="2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6.5" customHeight="1">
      <c r="A491" s="64"/>
      <c r="B491" s="64"/>
      <c r="C491" s="64"/>
      <c r="D491" s="65"/>
      <c r="E491" s="66"/>
      <c r="F491" s="87"/>
      <c r="G491" s="2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6.5" customHeight="1">
      <c r="A492" s="64"/>
      <c r="B492" s="64"/>
      <c r="C492" s="64"/>
      <c r="D492" s="65"/>
      <c r="E492" s="66"/>
      <c r="F492" s="87"/>
      <c r="G492" s="2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6.5" customHeight="1">
      <c r="A493" s="64"/>
      <c r="B493" s="64"/>
      <c r="C493" s="64"/>
      <c r="D493" s="65"/>
      <c r="E493" s="66"/>
      <c r="F493" s="87"/>
      <c r="G493" s="2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6.5" customHeight="1">
      <c r="A494" s="64"/>
      <c r="B494" s="64"/>
      <c r="C494" s="64"/>
      <c r="D494" s="65"/>
      <c r="E494" s="66"/>
      <c r="F494" s="87"/>
      <c r="G494" s="2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64"/>
      <c r="B495" s="64"/>
      <c r="C495" s="64"/>
      <c r="D495" s="65"/>
      <c r="E495" s="66"/>
      <c r="F495" s="87"/>
      <c r="G495" s="2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6.5" customHeight="1">
      <c r="A496" s="64"/>
      <c r="B496" s="64"/>
      <c r="C496" s="64"/>
      <c r="D496" s="65"/>
      <c r="E496" s="66"/>
      <c r="F496" s="87"/>
      <c r="G496" s="2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64"/>
      <c r="B497" s="64"/>
      <c r="C497" s="64"/>
      <c r="D497" s="65"/>
      <c r="E497" s="66"/>
      <c r="F497" s="122"/>
      <c r="G497" s="12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64"/>
      <c r="B498" s="64"/>
      <c r="C498" s="64"/>
      <c r="D498" s="65"/>
      <c r="E498" s="66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64"/>
      <c r="B499" s="64"/>
      <c r="C499" s="64"/>
      <c r="D499" s="65"/>
      <c r="E499" s="6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64"/>
      <c r="B500" s="64"/>
      <c r="C500" s="64"/>
      <c r="D500" s="65"/>
      <c r="E500" s="66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64"/>
      <c r="B501" s="64"/>
      <c r="C501" s="64"/>
      <c r="D501" s="65"/>
      <c r="E501" s="66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64"/>
      <c r="B502" s="64"/>
      <c r="C502" s="64"/>
      <c r="D502" s="65"/>
      <c r="E502" s="66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64"/>
      <c r="B503" s="64"/>
      <c r="C503" s="64"/>
      <c r="D503" s="65"/>
      <c r="E503" s="66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64"/>
      <c r="B504" s="64"/>
      <c r="C504" s="64"/>
      <c r="D504" s="65"/>
      <c r="E504" s="66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64"/>
      <c r="B505" s="64"/>
      <c r="C505" s="64"/>
      <c r="D505" s="65"/>
      <c r="E505" s="6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64"/>
      <c r="B506" s="64"/>
      <c r="C506" s="64"/>
      <c r="D506" s="65"/>
      <c r="E506" s="66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64"/>
      <c r="B507" s="64"/>
      <c r="C507" s="64"/>
      <c r="D507" s="65"/>
      <c r="E507" s="66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64"/>
      <c r="B508" s="64"/>
      <c r="C508" s="64"/>
      <c r="D508" s="65"/>
      <c r="E508" s="66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64"/>
      <c r="B509" s="64"/>
      <c r="C509" s="64"/>
      <c r="D509" s="65"/>
      <c r="E509" s="66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64"/>
      <c r="B510" s="64"/>
      <c r="C510" s="64"/>
      <c r="D510" s="65"/>
      <c r="E510" s="66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64"/>
      <c r="B511" s="64"/>
      <c r="C511" s="64"/>
      <c r="D511" s="65"/>
      <c r="E511" s="6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64"/>
      <c r="B512" s="64"/>
      <c r="C512" s="64"/>
      <c r="D512" s="65"/>
      <c r="E512" s="66"/>
      <c r="F512" s="68">
        <f>SUM(D480:D515)</f>
        <v>0</v>
      </c>
      <c r="G512" s="87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64"/>
      <c r="B513" s="64"/>
      <c r="C513" s="64"/>
      <c r="D513" s="65"/>
      <c r="E513" s="66"/>
      <c r="F513" s="45">
        <f>SUM(E480:E515)</f>
        <v>0</v>
      </c>
      <c r="G513" s="104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64"/>
      <c r="B514" s="64"/>
      <c r="C514" s="64"/>
      <c r="D514" s="65"/>
      <c r="E514" s="66"/>
      <c r="F514" s="121" t="s">
        <v>110</v>
      </c>
      <c r="G514" s="48">
        <f t="array" ref="G514">F513-F512</f>
        <v>0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64"/>
      <c r="B515" s="64"/>
      <c r="C515" s="64"/>
      <c r="D515" s="65"/>
      <c r="E515" s="66"/>
      <c r="F515" s="123" t="s">
        <v>119</v>
      </c>
      <c r="G515" s="107">
        <f>SUM(C480:C515)</f>
        <v>0</v>
      </c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64"/>
      <c r="B516" s="64"/>
      <c r="C516" s="64"/>
      <c r="D516" s="65"/>
      <c r="E516" s="66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64"/>
      <c r="B517" s="64"/>
      <c r="C517" s="64"/>
      <c r="D517" s="65"/>
      <c r="E517" s="6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64"/>
      <c r="B518" s="64"/>
      <c r="C518" s="64"/>
      <c r="D518" s="65"/>
      <c r="E518" s="66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64"/>
      <c r="B519" s="64"/>
      <c r="C519" s="64"/>
      <c r="D519" s="65"/>
      <c r="E519" s="66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64"/>
      <c r="B520" s="64"/>
      <c r="C520" s="64"/>
      <c r="D520" s="65"/>
      <c r="E520" s="66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64"/>
      <c r="B521" s="64"/>
      <c r="C521" s="64"/>
      <c r="D521" s="65"/>
      <c r="E521" s="66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64"/>
      <c r="B522" s="64"/>
      <c r="C522" s="64"/>
      <c r="D522" s="65"/>
      <c r="E522" s="66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64"/>
      <c r="B523" s="64"/>
      <c r="C523" s="64"/>
      <c r="D523" s="65"/>
      <c r="E523" s="6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64"/>
      <c r="B524" s="64"/>
      <c r="C524" s="64"/>
      <c r="D524" s="65"/>
      <c r="E524" s="66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64"/>
      <c r="B525" s="64"/>
      <c r="C525" s="64"/>
      <c r="D525" s="65"/>
      <c r="E525" s="66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64"/>
      <c r="B526" s="64"/>
      <c r="C526" s="64"/>
      <c r="D526" s="65"/>
      <c r="E526" s="66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64"/>
      <c r="B527" s="64"/>
      <c r="C527" s="64"/>
      <c r="D527" s="65"/>
      <c r="E527" s="66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64"/>
      <c r="B528" s="64"/>
      <c r="C528" s="64"/>
      <c r="D528" s="65"/>
      <c r="E528" s="66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64"/>
      <c r="B529" s="64"/>
      <c r="C529" s="64"/>
      <c r="D529" s="65"/>
      <c r="E529" s="6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64"/>
      <c r="B530" s="64"/>
      <c r="C530" s="64"/>
      <c r="D530" s="65"/>
      <c r="E530" s="66"/>
      <c r="F530" s="68">
        <f>SUM(D516:D533)</f>
        <v>0</v>
      </c>
      <c r="G530" s="87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64"/>
      <c r="B531" s="64"/>
      <c r="C531" s="64"/>
      <c r="D531" s="65"/>
      <c r="E531" s="66"/>
      <c r="F531" s="45">
        <f>SUM(E516:E533)</f>
        <v>0</v>
      </c>
      <c r="G531" s="104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64"/>
      <c r="B532" s="64"/>
      <c r="C532" s="64"/>
      <c r="D532" s="65"/>
      <c r="E532" s="66"/>
      <c r="F532" s="121" t="s">
        <v>110</v>
      </c>
      <c r="G532" s="48">
        <f t="array" ref="G532">F531-F530</f>
        <v>0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64"/>
      <c r="B533" s="64"/>
      <c r="C533" s="64"/>
      <c r="D533" s="65"/>
      <c r="E533" s="66"/>
      <c r="F533" s="123" t="s">
        <v>119</v>
      </c>
      <c r="G533" s="107">
        <f>SUM(C516:C533)</f>
        <v>0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64"/>
      <c r="B534" s="64"/>
      <c r="C534" s="64"/>
      <c r="D534" s="65"/>
      <c r="E534" s="66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64"/>
      <c r="B535" s="64"/>
      <c r="C535" s="64"/>
      <c r="D535" s="65"/>
      <c r="E535" s="6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64"/>
      <c r="B536" s="64"/>
      <c r="C536" s="64"/>
      <c r="D536" s="65"/>
      <c r="E536" s="66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64"/>
      <c r="B537" s="64"/>
      <c r="C537" s="64"/>
      <c r="D537" s="65"/>
      <c r="E537" s="66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64"/>
      <c r="B538" s="64"/>
      <c r="C538" s="64"/>
      <c r="D538" s="65"/>
      <c r="E538" s="66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64"/>
      <c r="B539" s="64"/>
      <c r="C539" s="64"/>
      <c r="D539" s="65"/>
      <c r="E539" s="66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64"/>
      <c r="B540" s="64"/>
      <c r="C540" s="64"/>
      <c r="D540" s="65"/>
      <c r="E540" s="66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64"/>
      <c r="B541" s="64"/>
      <c r="C541" s="64"/>
      <c r="D541" s="65"/>
      <c r="E541" s="6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64"/>
      <c r="B542" s="64"/>
      <c r="C542" s="64"/>
      <c r="D542" s="65"/>
      <c r="E542" s="66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64"/>
      <c r="B543" s="64"/>
      <c r="C543" s="64"/>
      <c r="D543" s="65"/>
      <c r="E543" s="66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64"/>
      <c r="B544" s="64"/>
      <c r="C544" s="64"/>
      <c r="D544" s="65"/>
      <c r="E544" s="66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64"/>
      <c r="B545" s="64"/>
      <c r="C545" s="64"/>
      <c r="D545" s="65"/>
      <c r="E545" s="66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64"/>
      <c r="B546" s="64"/>
      <c r="C546" s="64"/>
      <c r="D546" s="65"/>
      <c r="E546" s="66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64"/>
      <c r="B547" s="64"/>
      <c r="C547" s="64"/>
      <c r="D547" s="65"/>
      <c r="E547" s="6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64"/>
      <c r="B548" s="64"/>
      <c r="C548" s="64"/>
      <c r="D548" s="65"/>
      <c r="E548" s="66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64"/>
      <c r="B549" s="64"/>
      <c r="C549" s="64"/>
      <c r="D549" s="65"/>
      <c r="E549" s="66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64"/>
      <c r="B550" s="64"/>
      <c r="C550" s="64"/>
      <c r="D550" s="65"/>
      <c r="E550" s="66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64"/>
      <c r="B551" s="64"/>
      <c r="C551" s="64"/>
      <c r="D551" s="65"/>
      <c r="E551" s="66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64"/>
      <c r="B552" s="64"/>
      <c r="C552" s="64"/>
      <c r="D552" s="65"/>
      <c r="E552" s="66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64"/>
      <c r="B553" s="64"/>
      <c r="C553" s="64"/>
      <c r="D553" s="65"/>
      <c r="E553" s="66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64"/>
      <c r="B554" s="64"/>
      <c r="C554" s="64"/>
      <c r="D554" s="65"/>
      <c r="E554" s="66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64"/>
      <c r="B555" s="64"/>
      <c r="C555" s="64"/>
      <c r="D555" s="65"/>
      <c r="E555" s="66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64"/>
      <c r="B556" s="64"/>
      <c r="C556" s="64"/>
      <c r="D556" s="65"/>
      <c r="E556" s="66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64"/>
      <c r="B557" s="64"/>
      <c r="C557" s="64"/>
      <c r="D557" s="65"/>
      <c r="E557" s="66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64"/>
      <c r="B558" s="64"/>
      <c r="C558" s="64"/>
      <c r="D558" s="65"/>
      <c r="E558" s="66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64"/>
      <c r="B559" s="64"/>
      <c r="C559" s="64"/>
      <c r="D559" s="65"/>
      <c r="E559" s="66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64"/>
      <c r="B560" s="64"/>
      <c r="C560" s="64"/>
      <c r="D560" s="65"/>
      <c r="E560" s="66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64"/>
      <c r="B561" s="64"/>
      <c r="C561" s="64"/>
      <c r="D561" s="65"/>
      <c r="E561" s="66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64"/>
      <c r="B562" s="64"/>
      <c r="C562" s="64"/>
      <c r="D562" s="65"/>
      <c r="E562" s="66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64"/>
      <c r="B563" s="64"/>
      <c r="C563" s="64"/>
      <c r="D563" s="65"/>
      <c r="E563" s="66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64"/>
      <c r="B564" s="64"/>
      <c r="C564" s="64"/>
      <c r="D564" s="65"/>
      <c r="E564" s="66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64"/>
      <c r="B565" s="64"/>
      <c r="C565" s="64"/>
      <c r="D565" s="65"/>
      <c r="E565" s="66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64"/>
      <c r="B566" s="64"/>
      <c r="C566" s="64"/>
      <c r="D566" s="65"/>
      <c r="E566" s="66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64"/>
      <c r="B567" s="64"/>
      <c r="C567" s="64"/>
      <c r="D567" s="65"/>
      <c r="E567" s="66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64"/>
      <c r="B568" s="64"/>
      <c r="C568" s="64"/>
      <c r="D568" s="65"/>
      <c r="E568" s="66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64"/>
      <c r="B569" s="64"/>
      <c r="C569" s="64"/>
      <c r="D569" s="65"/>
      <c r="E569" s="66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64"/>
      <c r="B570" s="64"/>
      <c r="C570" s="64"/>
      <c r="D570" s="65"/>
      <c r="E570" s="66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64"/>
      <c r="B571" s="64"/>
      <c r="C571" s="64"/>
      <c r="D571" s="65"/>
      <c r="E571" s="66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64"/>
      <c r="B572" s="64"/>
      <c r="C572" s="64"/>
      <c r="D572" s="65"/>
      <c r="E572" s="66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64"/>
      <c r="B573" s="64"/>
      <c r="C573" s="64"/>
      <c r="D573" s="65"/>
      <c r="E573" s="66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64"/>
      <c r="B574" s="64"/>
      <c r="C574" s="64"/>
      <c r="D574" s="65"/>
      <c r="E574" s="66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64"/>
      <c r="B575" s="64"/>
      <c r="C575" s="64"/>
      <c r="D575" s="65"/>
      <c r="E575" s="66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64"/>
      <c r="B576" s="64"/>
      <c r="C576" s="64"/>
      <c r="D576" s="65"/>
      <c r="E576" s="66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64"/>
      <c r="B577" s="64"/>
      <c r="C577" s="64"/>
      <c r="D577" s="65"/>
      <c r="E577" s="66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64"/>
      <c r="B578" s="64"/>
      <c r="C578" s="64"/>
      <c r="D578" s="65"/>
      <c r="E578" s="66"/>
      <c r="F578" s="68">
        <f>SUM(D534:D586)</f>
        <v>0</v>
      </c>
      <c r="G578" s="87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64"/>
      <c r="B579" s="64"/>
      <c r="C579" s="64"/>
      <c r="D579" s="65"/>
      <c r="E579" s="66"/>
      <c r="F579" s="45">
        <f>SUM(E534:E586)</f>
        <v>0</v>
      </c>
      <c r="G579" s="104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64"/>
      <c r="B580" s="64"/>
      <c r="C580" s="64"/>
      <c r="D580" s="65"/>
      <c r="E580" s="66"/>
      <c r="F580" s="121" t="s">
        <v>110</v>
      </c>
      <c r="G580" s="48">
        <f t="array" ref="G580">F579-F578</f>
        <v>0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201"/>
      <c r="B581" s="201"/>
      <c r="C581" s="201"/>
      <c r="D581" s="202"/>
      <c r="E581" s="203"/>
      <c r="F581" s="123" t="s">
        <v>119</v>
      </c>
      <c r="G581" s="107">
        <f>SUM(C534:C586)</f>
        <v>0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204"/>
      <c r="B582" s="204"/>
      <c r="C582" s="204"/>
      <c r="D582" s="205"/>
      <c r="E582" s="20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204"/>
      <c r="B583" s="204"/>
      <c r="C583" s="204"/>
      <c r="D583" s="205"/>
      <c r="E583" s="20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204"/>
      <c r="B584" s="204"/>
      <c r="C584" s="204"/>
      <c r="D584" s="205"/>
      <c r="E584" s="20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204"/>
      <c r="B585" s="204"/>
      <c r="C585" s="204"/>
      <c r="D585" s="205"/>
      <c r="E585" s="20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204"/>
      <c r="B586" s="204"/>
      <c r="C586" s="204"/>
      <c r="D586" s="205"/>
      <c r="E586" s="203"/>
      <c r="F586" s="206"/>
      <c r="G586" s="207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204"/>
      <c r="B587" s="204"/>
      <c r="C587" s="204"/>
      <c r="D587" s="208"/>
      <c r="E587" s="203"/>
      <c r="F587" s="206"/>
      <c r="G587" s="207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209"/>
      <c r="B588" s="209"/>
      <c r="C588" s="209"/>
      <c r="D588" s="203"/>
      <c r="E588" s="203"/>
      <c r="F588" s="206"/>
      <c r="G588" s="207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210"/>
      <c r="B589" s="210"/>
      <c r="C589" s="210"/>
      <c r="D589" s="211"/>
      <c r="E589" s="211"/>
      <c r="F589" s="206"/>
      <c r="G589" s="207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212"/>
      <c r="B590" s="212"/>
      <c r="C590" s="212"/>
      <c r="D590" s="203"/>
      <c r="E590" s="203"/>
      <c r="F590" s="206"/>
      <c r="G590" s="207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212"/>
      <c r="B591" s="212"/>
      <c r="C591" s="212"/>
      <c r="D591" s="203"/>
      <c r="E591" s="203"/>
      <c r="F591" s="206"/>
      <c r="G591" s="207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212"/>
      <c r="B592" s="212"/>
      <c r="C592" s="212"/>
      <c r="D592" s="203"/>
      <c r="E592" s="203"/>
      <c r="F592" s="206"/>
      <c r="G592" s="207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212"/>
      <c r="B593" s="212"/>
      <c r="C593" s="212"/>
      <c r="D593" s="203"/>
      <c r="E593" s="203"/>
      <c r="F593" s="206"/>
      <c r="G593" s="207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212"/>
      <c r="B594" s="212"/>
      <c r="C594" s="212"/>
      <c r="D594" s="203"/>
      <c r="E594" s="20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212"/>
      <c r="B595" s="212"/>
      <c r="C595" s="212"/>
      <c r="D595" s="203"/>
      <c r="E595" s="20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212"/>
      <c r="B596" s="212"/>
      <c r="C596" s="212"/>
      <c r="D596" s="203"/>
      <c r="E596" s="20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212"/>
      <c r="B597" s="212"/>
      <c r="C597" s="212"/>
      <c r="D597" s="203"/>
      <c r="E597" s="20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212"/>
      <c r="B598" s="212"/>
      <c r="C598" s="212"/>
      <c r="D598" s="203"/>
      <c r="E598" s="20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210"/>
      <c r="B599" s="210"/>
      <c r="C599" s="210"/>
      <c r="D599" s="211"/>
      <c r="E599" s="2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213" t="s">
        <v>121</v>
      </c>
      <c r="B600" s="214"/>
      <c r="C600" s="215" t="s">
        <v>122</v>
      </c>
      <c r="D600" s="216" t="s">
        <v>123</v>
      </c>
      <c r="E600" s="217" t="s">
        <v>124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218">
        <f t="array" ref="A601">E601-D601</f>
        <v>23652</v>
      </c>
      <c r="B601" s="218"/>
      <c r="C601" s="190">
        <f t="array" ref="C601">SUM(C2:C599)</f>
        <v>70</v>
      </c>
      <c r="D601" s="219">
        <f t="array" ref="D601">SUM(D2:D599)</f>
        <v>34966</v>
      </c>
      <c r="E601" s="220">
        <f t="array" ref="E601">SUM(E2:E599)</f>
        <v>58618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221"/>
      <c r="B602" s="222"/>
      <c r="C602" s="129"/>
      <c r="D602" s="223"/>
      <c r="E602" s="22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</sheetData>
  <autoFilter ref="A1:E39"/>
  <pageMargins left="0.7" right="0.7" top="0.75" bottom="0.75" header="0" footer="0"/>
  <pageSetup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showGridLines="0" tabSelected="1" zoomScale="85" zoomScaleNormal="85" workbookViewId="0">
      <selection activeCell="C23" sqref="C23"/>
    </sheetView>
  </sheetViews>
  <sheetFormatPr defaultColWidth="12.625" defaultRowHeight="15" customHeight="1"/>
  <cols>
    <col min="1" max="1" width="26" style="224" customWidth="1"/>
    <col min="2" max="2" width="31.5" style="224" customWidth="1"/>
    <col min="3" max="3" width="15" style="224" customWidth="1"/>
    <col min="4" max="4" width="2.625" style="224" customWidth="1"/>
    <col min="5" max="5" width="26" style="224" customWidth="1"/>
    <col min="6" max="6" width="23.875" style="224" customWidth="1"/>
    <col min="7" max="7" width="3.375" style="224" customWidth="1"/>
    <col min="8" max="8" width="19.375" style="224" customWidth="1"/>
    <col min="9" max="9" width="14.5" style="224" customWidth="1"/>
    <col min="10" max="10" width="10.375" style="224" customWidth="1"/>
    <col min="11" max="11" width="2.375" style="224" customWidth="1"/>
    <col min="12" max="12" width="14.25" style="224" customWidth="1"/>
    <col min="13" max="13" width="13.625" style="224" customWidth="1"/>
    <col min="14" max="15" width="15.875" style="224" customWidth="1"/>
    <col min="16" max="16" width="19.375" style="224" customWidth="1"/>
    <col min="17" max="18" width="12.375" style="224" customWidth="1"/>
    <col min="19" max="26" width="10" style="224" customWidth="1"/>
  </cols>
  <sheetData>
    <row r="1" spans="1:26" ht="15" customHeight="1">
      <c r="A1" s="6" t="s">
        <v>125</v>
      </c>
      <c r="B1" s="6" t="s">
        <v>126</v>
      </c>
      <c r="C1" s="6" t="s">
        <v>127</v>
      </c>
      <c r="D1" s="13"/>
      <c r="E1" s="14" t="s">
        <v>128</v>
      </c>
      <c r="F1" s="16" t="s">
        <v>129</v>
      </c>
      <c r="G1" s="19"/>
      <c r="H1" s="22" t="s">
        <v>130</v>
      </c>
      <c r="I1" s="22" t="s">
        <v>131</v>
      </c>
      <c r="J1" s="24" t="s">
        <v>126</v>
      </c>
      <c r="K1" s="27"/>
      <c r="L1" s="24" t="s">
        <v>132</v>
      </c>
      <c r="M1" s="24" t="s">
        <v>65</v>
      </c>
      <c r="N1" s="24" t="s">
        <v>133</v>
      </c>
      <c r="O1" s="24" t="s">
        <v>134</v>
      </c>
      <c r="P1" s="24" t="s">
        <v>135</v>
      </c>
      <c r="Q1" s="24" t="s">
        <v>136</v>
      </c>
      <c r="R1" s="24" t="s">
        <v>137</v>
      </c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93" t="s">
        <v>138</v>
      </c>
      <c r="B2" s="77">
        <v>46258</v>
      </c>
      <c r="C2" s="78">
        <v>400</v>
      </c>
      <c r="D2" s="28"/>
      <c r="E2" s="30">
        <f>'   ESTOQUE  2026'!M35</f>
        <v>33081</v>
      </c>
      <c r="F2" s="32">
        <f>'CONTROLE DE SAÍDA 2026'!E601</f>
        <v>58618</v>
      </c>
      <c r="G2" s="28"/>
      <c r="H2" s="113" t="s">
        <v>76</v>
      </c>
      <c r="I2" s="33">
        <v>1425</v>
      </c>
      <c r="J2" s="106">
        <v>46275</v>
      </c>
      <c r="K2" s="28"/>
      <c r="L2" s="42" t="s">
        <v>139</v>
      </c>
      <c r="M2" s="42">
        <f t="array" ref="M2">'CONTROLE DE SAÍDA 2026'!G43</f>
        <v>58</v>
      </c>
      <c r="N2" s="45">
        <f t="array" ref="N2">'CONTROLE DE SAÍDA 2026'!F41</f>
        <v>48750</v>
      </c>
      <c r="O2" s="48">
        <f t="array" ref="O2">'CONTROLE DE SAÍDA 2026'!G42</f>
        <v>19719</v>
      </c>
      <c r="P2" s="54">
        <f t="shared" ref="P2:P8" si="0">O2/3</f>
        <v>6573</v>
      </c>
      <c r="Q2" s="54">
        <f t="shared" ref="Q2:R8" si="1">P2</f>
        <v>6573</v>
      </c>
      <c r="R2" s="54">
        <f t="shared" si="1"/>
        <v>6573</v>
      </c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58" t="s">
        <v>140</v>
      </c>
      <c r="B3" s="94">
        <v>46265</v>
      </c>
      <c r="C3" s="59">
        <v>19719</v>
      </c>
      <c r="D3" s="28"/>
      <c r="E3" s="59">
        <f>C59</f>
        <v>20119</v>
      </c>
      <c r="F3" s="60">
        <f>F2-(E2+E3)</f>
        <v>5418</v>
      </c>
      <c r="G3" s="28"/>
      <c r="H3" s="113" t="s">
        <v>141</v>
      </c>
      <c r="I3" s="68">
        <v>750</v>
      </c>
      <c r="J3" s="106"/>
      <c r="K3" s="28"/>
      <c r="L3" s="91" t="s">
        <v>142</v>
      </c>
      <c r="M3" s="62">
        <f t="array" ref="M3">'CONTROLE DE SAÍDA 2026'!G92</f>
        <v>12</v>
      </c>
      <c r="N3" s="67">
        <f t="array" ref="N3">'CONTROLE DE SAÍDA 2026'!F90</f>
        <v>9868</v>
      </c>
      <c r="O3" s="74">
        <f t="array" ref="O3">'CONTROLE DE SAÍDA 2026'!G91</f>
        <v>3933</v>
      </c>
      <c r="P3" s="54">
        <f t="shared" si="0"/>
        <v>1311</v>
      </c>
      <c r="Q3" s="54">
        <f t="shared" si="1"/>
        <v>1311</v>
      </c>
      <c r="R3" s="54">
        <f t="shared" si="1"/>
        <v>1311</v>
      </c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s="76"/>
      <c r="B4" s="77"/>
      <c r="C4" s="78"/>
      <c r="D4" s="28"/>
      <c r="E4" s="6" t="s">
        <v>143</v>
      </c>
      <c r="F4" s="79"/>
      <c r="G4" s="28"/>
      <c r="H4" s="114" t="s">
        <v>144</v>
      </c>
      <c r="I4" s="115">
        <v>90</v>
      </c>
      <c r="J4" s="97">
        <v>46283</v>
      </c>
      <c r="K4" s="28"/>
      <c r="L4" s="42" t="s">
        <v>145</v>
      </c>
      <c r="M4" s="81">
        <f t="array" ref="M4">'CONTROLE DE SAÍDA 2026'!G163</f>
        <v>0</v>
      </c>
      <c r="N4" s="45">
        <f t="array" ref="N4">'CONTROLE DE SAÍDA 2026'!F161</f>
        <v>0</v>
      </c>
      <c r="O4" s="48">
        <f t="array" ref="O4">'CONTROLE DE SAÍDA 2026'!G162</f>
        <v>0</v>
      </c>
      <c r="P4" s="54">
        <f t="shared" si="0"/>
        <v>0</v>
      </c>
      <c r="Q4" s="54">
        <f t="shared" si="1"/>
        <v>0</v>
      </c>
      <c r="R4" s="54">
        <f t="shared" si="1"/>
        <v>0</v>
      </c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93"/>
      <c r="B5" s="124"/>
      <c r="C5" s="59"/>
      <c r="D5" s="87"/>
      <c r="E5" s="88" t="s">
        <v>146</v>
      </c>
      <c r="F5" s="89"/>
      <c r="G5" s="90"/>
      <c r="H5" s="114" t="s">
        <v>147</v>
      </c>
      <c r="I5" s="115">
        <v>1350</v>
      </c>
      <c r="J5" s="97">
        <v>46275</v>
      </c>
      <c r="K5" s="28"/>
      <c r="L5" s="91" t="s">
        <v>148</v>
      </c>
      <c r="M5" s="62">
        <f t="array" ref="M5">'CONTROLE DE SAÍDA 2026'!G236</f>
        <v>0</v>
      </c>
      <c r="N5" s="67">
        <f t="array" ref="N5">'CONTROLE DE SAÍDA 2026'!F234</f>
        <v>0</v>
      </c>
      <c r="O5" s="74">
        <f t="array" ref="O5">'CONTROLE DE SAÍDA 2026'!G235</f>
        <v>0</v>
      </c>
      <c r="P5" s="54">
        <f t="shared" si="0"/>
        <v>0</v>
      </c>
      <c r="Q5" s="54">
        <f t="shared" si="1"/>
        <v>0</v>
      </c>
      <c r="R5" s="54">
        <f t="shared" si="1"/>
        <v>0</v>
      </c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93"/>
      <c r="B6" s="94"/>
      <c r="C6" s="59"/>
      <c r="D6" s="28"/>
      <c r="E6" s="95"/>
      <c r="F6" s="78"/>
      <c r="G6" s="28"/>
      <c r="H6" s="116" t="s">
        <v>149</v>
      </c>
      <c r="I6" s="115">
        <v>1000</v>
      </c>
      <c r="J6" s="97"/>
      <c r="K6" s="28"/>
      <c r="L6" s="91" t="s">
        <v>150</v>
      </c>
      <c r="M6" s="62">
        <f t="array" ref="M6">'CONTROLE DE SAÍDA 2026'!G337</f>
        <v>0</v>
      </c>
      <c r="N6" s="67">
        <f t="array" ref="N6">'CONTROLE DE SAÍDA 2026'!F335</f>
        <v>0</v>
      </c>
      <c r="O6" s="74">
        <f t="array" ref="O6">'CONTROLE DE SAÍDA 2026'!G336</f>
        <v>0</v>
      </c>
      <c r="P6" s="54">
        <f t="shared" si="0"/>
        <v>0</v>
      </c>
      <c r="Q6" s="54">
        <f t="shared" si="1"/>
        <v>0</v>
      </c>
      <c r="R6" s="54">
        <f t="shared" si="1"/>
        <v>0</v>
      </c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76"/>
      <c r="B7" s="77"/>
      <c r="C7" s="78"/>
      <c r="D7" s="28"/>
      <c r="E7" s="99"/>
      <c r="F7" s="101"/>
      <c r="G7" s="28"/>
      <c r="H7" s="113" t="s">
        <v>151</v>
      </c>
      <c r="I7" s="68">
        <v>9000</v>
      </c>
      <c r="J7" s="106">
        <v>46305</v>
      </c>
      <c r="K7" s="28"/>
      <c r="L7" s="42" t="s">
        <v>152</v>
      </c>
      <c r="M7" s="81">
        <f t="array" ref="M7">'CONTROLE DE SAÍDA 2026'!G398</f>
        <v>0</v>
      </c>
      <c r="N7" s="45">
        <f t="array" ref="N7">'CONTROLE DE SAÍDA 2026'!F396</f>
        <v>0</v>
      </c>
      <c r="O7" s="48">
        <f t="array" ref="O7">'CONTROLE DE SAÍDA 2026'!G397</f>
        <v>0</v>
      </c>
      <c r="P7" s="54">
        <f t="shared" si="0"/>
        <v>0</v>
      </c>
      <c r="Q7" s="54">
        <f t="shared" si="1"/>
        <v>0</v>
      </c>
      <c r="R7" s="54">
        <f t="shared" si="1"/>
        <v>0</v>
      </c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93"/>
      <c r="B8" s="94"/>
      <c r="C8" s="59"/>
      <c r="D8" s="28"/>
      <c r="E8" s="102"/>
      <c r="F8" s="103"/>
      <c r="G8" s="28"/>
      <c r="H8" s="116" t="s">
        <v>153</v>
      </c>
      <c r="I8" s="115">
        <v>4400</v>
      </c>
      <c r="J8" s="97">
        <v>46281</v>
      </c>
      <c r="K8" s="28"/>
      <c r="L8" s="91" t="s">
        <v>154</v>
      </c>
      <c r="M8" s="62">
        <f>'CONTROLE DE SAÍDA 2026'!G435</f>
        <v>0</v>
      </c>
      <c r="N8" s="67">
        <f>'CONTROLE DE SAÍDA 2026'!F433</f>
        <v>0</v>
      </c>
      <c r="O8" s="74">
        <f>'CONTROLE DE SAÍDA 2026'!G434</f>
        <v>0</v>
      </c>
      <c r="P8" s="54">
        <f t="shared" si="0"/>
        <v>0</v>
      </c>
      <c r="Q8" s="54">
        <f t="shared" si="1"/>
        <v>0</v>
      </c>
      <c r="R8" s="54">
        <f t="shared" si="1"/>
        <v>0</v>
      </c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76"/>
      <c r="B9" s="77"/>
      <c r="C9" s="78"/>
      <c r="D9" s="28"/>
      <c r="E9" s="105"/>
      <c r="F9" s="59"/>
      <c r="G9" s="28"/>
      <c r="H9" s="116" t="s">
        <v>153</v>
      </c>
      <c r="I9" s="115">
        <v>4400</v>
      </c>
      <c r="J9" s="97">
        <v>46311</v>
      </c>
      <c r="K9" s="28"/>
      <c r="L9" s="42" t="s">
        <v>159</v>
      </c>
      <c r="M9" s="81">
        <f>'CONTROLE DE SAÍDA 2026'!G479</f>
        <v>0</v>
      </c>
      <c r="N9" s="45">
        <f>'CONTROLE DE SAÍDA 2026'!F477</f>
        <v>0</v>
      </c>
      <c r="O9" s="48">
        <f>'CONTROLE DE SAÍDA 2026'!G478</f>
        <v>0</v>
      </c>
      <c r="P9" s="54">
        <f>O9/3</f>
        <v>0</v>
      </c>
      <c r="Q9" s="54">
        <f t="shared" ref="Q9:R12" si="2">P9</f>
        <v>0</v>
      </c>
      <c r="R9" s="54">
        <f t="shared" si="2"/>
        <v>0</v>
      </c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76"/>
      <c r="B10" s="77"/>
      <c r="C10" s="78"/>
      <c r="D10" s="28"/>
      <c r="E10" s="105"/>
      <c r="F10" s="59"/>
      <c r="G10" s="28"/>
      <c r="H10" s="116" t="s">
        <v>155</v>
      </c>
      <c r="I10" s="115">
        <v>3826</v>
      </c>
      <c r="J10" s="97"/>
      <c r="K10" s="28"/>
      <c r="L10" s="91" t="s">
        <v>161</v>
      </c>
      <c r="M10" s="62">
        <f>'CONTROLE DE SAÍDA 2026'!G515</f>
        <v>0</v>
      </c>
      <c r="N10" s="67">
        <f>'CONTROLE DE SAÍDA 2026'!F513</f>
        <v>0</v>
      </c>
      <c r="O10" s="74">
        <f>'CONTROLE DE SAÍDA 2026'!G514</f>
        <v>0</v>
      </c>
      <c r="P10" s="54">
        <f>O10/3</f>
        <v>0</v>
      </c>
      <c r="Q10" s="54">
        <f t="shared" si="2"/>
        <v>0</v>
      </c>
      <c r="R10" s="54">
        <f t="shared" si="2"/>
        <v>0</v>
      </c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76"/>
      <c r="B11" s="77"/>
      <c r="C11" s="78"/>
      <c r="D11" s="28"/>
      <c r="E11" s="105"/>
      <c r="F11" s="59"/>
      <c r="G11" s="28"/>
      <c r="H11" s="116" t="s">
        <v>156</v>
      </c>
      <c r="I11" s="115">
        <v>162.5</v>
      </c>
      <c r="J11" s="97"/>
      <c r="K11" s="28"/>
      <c r="L11" s="42" t="s">
        <v>162</v>
      </c>
      <c r="M11" s="81">
        <f>'CONTROLE DE SAÍDA 2026'!G533</f>
        <v>0</v>
      </c>
      <c r="N11" s="45">
        <f>'CONTROLE DE SAÍDA 2026'!F531</f>
        <v>0</v>
      </c>
      <c r="O11" s="48">
        <f>'CONTROLE DE SAÍDA 2026'!G532</f>
        <v>0</v>
      </c>
      <c r="P11" s="54">
        <f>O11/3</f>
        <v>0</v>
      </c>
      <c r="Q11" s="54">
        <f t="shared" si="2"/>
        <v>0</v>
      </c>
      <c r="R11" s="54">
        <f t="shared" si="2"/>
        <v>0</v>
      </c>
      <c r="S11" s="11"/>
      <c r="T11" s="11"/>
      <c r="U11" s="11"/>
      <c r="V11" s="11"/>
      <c r="W11" s="11"/>
      <c r="X11" s="11"/>
      <c r="Y11" s="11"/>
    </row>
    <row r="12" spans="1:26" ht="14.25" customHeight="1">
      <c r="A12" s="76"/>
      <c r="B12" s="77"/>
      <c r="C12" s="78"/>
      <c r="D12" s="28"/>
      <c r="E12" s="105"/>
      <c r="F12" s="59"/>
      <c r="G12" s="28"/>
      <c r="H12" s="116" t="s">
        <v>157</v>
      </c>
      <c r="I12" s="115">
        <v>100</v>
      </c>
      <c r="J12" s="97"/>
      <c r="K12" s="28"/>
      <c r="L12" s="91" t="s">
        <v>163</v>
      </c>
      <c r="M12" s="62">
        <f>'CONTROLE DE SAÍDA 2026'!G581</f>
        <v>0</v>
      </c>
      <c r="N12" s="67">
        <f>'CONTROLE DE SAÍDA 2026'!F579</f>
        <v>0</v>
      </c>
      <c r="O12" s="74">
        <f>'CONTROLE DE SAÍDA 2026'!G580</f>
        <v>0</v>
      </c>
      <c r="P12" s="54">
        <f>O12/3</f>
        <v>0</v>
      </c>
      <c r="Q12" s="54">
        <f t="shared" si="2"/>
        <v>0</v>
      </c>
      <c r="R12" s="54">
        <f t="shared" si="2"/>
        <v>0</v>
      </c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76"/>
      <c r="B13" s="77"/>
      <c r="C13" s="78"/>
      <c r="D13" s="28"/>
      <c r="E13" s="105"/>
      <c r="F13" s="59"/>
      <c r="G13" s="28"/>
      <c r="H13" s="116" t="s">
        <v>158</v>
      </c>
      <c r="I13" s="115">
        <v>600</v>
      </c>
      <c r="J13" s="97"/>
      <c r="K13" s="28"/>
      <c r="L13" s="82" t="s">
        <v>10</v>
      </c>
      <c r="M13" s="82">
        <f t="array" ref="M13">SUM(M2:M12)</f>
        <v>70</v>
      </c>
      <c r="N13" s="111"/>
      <c r="O13" s="112">
        <f t="array" ref="O13">SUM(O2:O12)</f>
        <v>23652</v>
      </c>
      <c r="P13" s="112">
        <f t="array" ref="P13">SUM(P2:P12)</f>
        <v>7884</v>
      </c>
      <c r="Q13" s="112">
        <f t="array" ref="Q13">SUM(Q2:Q12)</f>
        <v>7884</v>
      </c>
      <c r="R13" s="112">
        <f t="array" ref="R13">SUM(R2:R12)</f>
        <v>7884</v>
      </c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93"/>
      <c r="B14" s="94"/>
      <c r="C14" s="59"/>
      <c r="D14" s="28"/>
      <c r="E14" s="102"/>
      <c r="F14" s="103"/>
      <c r="G14" s="28"/>
      <c r="H14" s="113" t="s">
        <v>160</v>
      </c>
      <c r="I14" s="68">
        <v>1400</v>
      </c>
      <c r="J14" s="106"/>
      <c r="K14" s="28"/>
      <c r="L14" s="11"/>
      <c r="M14" s="11"/>
      <c r="N14" s="11"/>
      <c r="O14" s="11"/>
      <c r="P14" s="83"/>
      <c r="Q14" s="26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76"/>
      <c r="B15" s="77"/>
      <c r="C15" s="78"/>
      <c r="D15" s="28"/>
      <c r="E15" s="105"/>
      <c r="F15" s="59"/>
      <c r="G15" s="28"/>
      <c r="H15" s="225"/>
      <c r="I15" s="226"/>
      <c r="J15" s="227"/>
      <c r="K15" s="28"/>
      <c r="L15" s="11"/>
      <c r="M15" s="11"/>
      <c r="N15" s="11"/>
      <c r="O15" s="11"/>
      <c r="P15" s="11"/>
      <c r="Q15" s="26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93"/>
      <c r="B16" s="94"/>
      <c r="C16" s="59"/>
      <c r="D16" s="28"/>
      <c r="E16" s="108"/>
      <c r="F16" s="79"/>
      <c r="G16" s="87"/>
      <c r="H16" s="228"/>
      <c r="I16" s="229"/>
      <c r="J16" s="230"/>
      <c r="K16" s="90"/>
      <c r="L16" s="11"/>
      <c r="M16" s="11"/>
      <c r="N16" s="11"/>
      <c r="O16" s="11"/>
      <c r="P16" s="11"/>
      <c r="Q16" s="26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76"/>
      <c r="B17" s="77"/>
      <c r="C17" s="78"/>
      <c r="D17" s="28"/>
      <c r="E17" s="109" t="s">
        <v>164</v>
      </c>
      <c r="F17" s="110">
        <f t="array" ref="F17">SUM(F6:F16)</f>
        <v>0</v>
      </c>
      <c r="G17" s="28"/>
      <c r="H17" s="225"/>
      <c r="I17" s="226"/>
      <c r="J17" s="227"/>
      <c r="K17" s="28"/>
      <c r="L17" s="11"/>
      <c r="M17" s="11"/>
      <c r="N17" s="11"/>
      <c r="O17" s="11"/>
      <c r="P17" s="11"/>
      <c r="Q17" s="26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93"/>
      <c r="B18" s="94"/>
      <c r="C18" s="59"/>
      <c r="D18" s="87"/>
      <c r="E18" s="83"/>
      <c r="F18" s="83"/>
      <c r="G18" s="90"/>
      <c r="H18" s="228"/>
      <c r="I18" s="229"/>
      <c r="J18" s="230"/>
      <c r="K18" s="87"/>
      <c r="L18" s="11"/>
      <c r="M18" s="11"/>
      <c r="N18" s="11"/>
      <c r="O18" s="11"/>
      <c r="P18" s="11"/>
      <c r="Q18" s="26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76"/>
      <c r="B19" s="77"/>
      <c r="C19" s="78"/>
      <c r="D19" s="87"/>
      <c r="E19" s="11"/>
      <c r="F19" s="11"/>
      <c r="G19" s="90"/>
      <c r="H19" s="225"/>
      <c r="I19" s="226"/>
      <c r="J19" s="227"/>
      <c r="K19" s="87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93"/>
      <c r="B20" s="94"/>
      <c r="C20" s="59"/>
      <c r="D20" s="87"/>
      <c r="E20" s="11"/>
      <c r="F20" s="11"/>
      <c r="G20" s="90"/>
      <c r="H20" s="228"/>
      <c r="I20" s="229"/>
      <c r="J20" s="230"/>
      <c r="K20" s="8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76"/>
      <c r="B21" s="77"/>
      <c r="C21" s="78"/>
      <c r="D21" s="87"/>
      <c r="E21" s="11"/>
      <c r="F21" s="11"/>
      <c r="G21" s="90"/>
      <c r="H21" s="225"/>
      <c r="I21" s="226"/>
      <c r="J21" s="227"/>
      <c r="K21" s="87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93"/>
      <c r="B22" s="94"/>
      <c r="C22" s="59"/>
      <c r="D22" s="87"/>
      <c r="E22" s="11"/>
      <c r="F22" s="11"/>
      <c r="G22" s="90"/>
      <c r="H22" s="228"/>
      <c r="I22" s="229"/>
      <c r="J22" s="230"/>
      <c r="K22" s="8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76"/>
      <c r="B23" s="77"/>
      <c r="C23" s="78"/>
      <c r="D23" s="87"/>
      <c r="E23" s="11"/>
      <c r="F23" s="11"/>
      <c r="G23" s="11"/>
      <c r="H23" s="225"/>
      <c r="I23" s="226"/>
      <c r="J23" s="227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93"/>
      <c r="B24" s="94"/>
      <c r="C24" s="59"/>
      <c r="D24" s="87"/>
      <c r="E24" s="11"/>
      <c r="F24" s="11"/>
      <c r="G24" s="11"/>
      <c r="H24" s="228"/>
      <c r="I24" s="229"/>
      <c r="J24" s="23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76"/>
      <c r="B25" s="77"/>
      <c r="C25" s="78"/>
      <c r="D25" s="87"/>
      <c r="E25" s="11"/>
      <c r="F25" s="11"/>
      <c r="G25" s="11"/>
      <c r="H25" s="225"/>
      <c r="I25" s="226"/>
      <c r="J25" s="227"/>
      <c r="K25" s="11"/>
      <c r="L25" s="11"/>
      <c r="M25" s="11"/>
      <c r="N25" s="11"/>
      <c r="O25" s="11"/>
      <c r="P25" s="11"/>
      <c r="Q25" s="26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>
      <c r="A26" s="93"/>
      <c r="B26" s="94"/>
      <c r="C26" s="59"/>
      <c r="D26" s="87"/>
      <c r="E26" s="11"/>
      <c r="F26" s="11"/>
      <c r="G26" s="11"/>
      <c r="H26" s="228"/>
      <c r="I26" s="229"/>
      <c r="J26" s="230"/>
      <c r="K26" s="11"/>
      <c r="L26" s="11"/>
      <c r="M26" s="11"/>
      <c r="N26" s="11"/>
      <c r="O26" s="11"/>
      <c r="P26" s="11"/>
      <c r="Q26" s="26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76"/>
      <c r="B27" s="77"/>
      <c r="C27" s="78"/>
      <c r="D27" s="87"/>
      <c r="E27" s="11"/>
      <c r="F27" s="11"/>
      <c r="G27" s="11"/>
      <c r="H27" s="225"/>
      <c r="I27" s="226"/>
      <c r="J27" s="227"/>
      <c r="K27" s="11"/>
      <c r="L27" s="11"/>
      <c r="M27" s="11"/>
      <c r="N27" s="11"/>
      <c r="O27" s="11"/>
      <c r="P27" s="11"/>
      <c r="Q27" s="26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93"/>
      <c r="B28" s="94"/>
      <c r="C28" s="59"/>
      <c r="D28" s="87"/>
      <c r="E28" s="11"/>
      <c r="F28" s="11"/>
      <c r="G28" s="11"/>
      <c r="H28" s="228"/>
      <c r="I28" s="229"/>
      <c r="J28" s="230"/>
      <c r="K28" s="11"/>
      <c r="L28" s="11"/>
      <c r="M28" s="11"/>
      <c r="N28" s="11"/>
      <c r="O28" s="11"/>
      <c r="P28" s="11"/>
      <c r="Q28" s="26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76"/>
      <c r="B29" s="77"/>
      <c r="C29" s="78"/>
      <c r="D29" s="87"/>
      <c r="E29" s="11"/>
      <c r="F29" s="11"/>
      <c r="G29" s="11"/>
      <c r="H29" s="225"/>
      <c r="I29" s="226"/>
      <c r="J29" s="227"/>
      <c r="K29" s="11"/>
      <c r="L29" s="11"/>
      <c r="M29" s="11"/>
      <c r="N29" s="11"/>
      <c r="O29" s="11"/>
      <c r="P29" s="11"/>
      <c r="Q29" s="26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93"/>
      <c r="B30" s="94"/>
      <c r="C30" s="59"/>
      <c r="D30" s="87"/>
      <c r="E30" s="11"/>
      <c r="F30" s="11"/>
      <c r="G30" s="11"/>
      <c r="H30" s="228"/>
      <c r="I30" s="229"/>
      <c r="J30" s="230"/>
      <c r="K30" s="11"/>
      <c r="L30" s="11"/>
      <c r="M30" s="11"/>
      <c r="N30" s="11"/>
      <c r="O30" s="11"/>
      <c r="P30" s="11"/>
      <c r="Q30" s="26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76"/>
      <c r="B31" s="77"/>
      <c r="C31" s="78"/>
      <c r="D31" s="87"/>
      <c r="E31" s="11"/>
      <c r="F31" s="11"/>
      <c r="G31" s="11"/>
      <c r="H31" s="225"/>
      <c r="I31" s="226"/>
      <c r="J31" s="227"/>
      <c r="K31" s="11"/>
      <c r="L31" s="11"/>
      <c r="M31" s="11"/>
      <c r="N31" s="11"/>
      <c r="O31" s="11"/>
      <c r="P31" s="11"/>
      <c r="Q31" s="26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93"/>
      <c r="B32" s="94"/>
      <c r="C32" s="59"/>
      <c r="D32" s="87"/>
      <c r="E32" s="11"/>
      <c r="F32" s="11"/>
      <c r="G32" s="11"/>
      <c r="H32" s="228"/>
      <c r="I32" s="229"/>
      <c r="J32" s="230"/>
      <c r="K32" s="11"/>
      <c r="L32" s="11"/>
      <c r="M32" s="11"/>
      <c r="N32" s="11"/>
      <c r="O32" s="11"/>
      <c r="P32" s="11"/>
      <c r="Q32" s="26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76"/>
      <c r="B33" s="77"/>
      <c r="C33" s="78"/>
      <c r="D33" s="87"/>
      <c r="E33" s="11"/>
      <c r="F33" s="11"/>
      <c r="G33" s="11"/>
      <c r="H33" s="225"/>
      <c r="I33" s="226"/>
      <c r="J33" s="227"/>
      <c r="K33" s="11"/>
      <c r="L33" s="11"/>
      <c r="M33" s="11"/>
      <c r="N33" s="11"/>
      <c r="O33" s="11"/>
      <c r="P33" s="11"/>
      <c r="Q33" s="26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93"/>
      <c r="B34" s="94"/>
      <c r="C34" s="59"/>
      <c r="D34" s="87"/>
      <c r="E34" s="11"/>
      <c r="F34" s="11"/>
      <c r="G34" s="11"/>
      <c r="H34" s="228"/>
      <c r="I34" s="229"/>
      <c r="J34" s="230"/>
      <c r="K34" s="11"/>
      <c r="L34" s="11"/>
      <c r="M34" s="11"/>
      <c r="N34" s="11"/>
      <c r="O34" s="11"/>
      <c r="P34" s="11"/>
      <c r="Q34" s="26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76"/>
      <c r="B35" s="77"/>
      <c r="C35" s="78"/>
      <c r="D35" s="87"/>
      <c r="E35" s="11"/>
      <c r="F35" s="11"/>
      <c r="G35" s="11"/>
      <c r="H35" s="225"/>
      <c r="I35" s="226"/>
      <c r="J35" s="227"/>
      <c r="K35" s="11"/>
      <c r="L35" s="11"/>
      <c r="M35" s="11"/>
      <c r="N35" s="11"/>
      <c r="O35" s="11"/>
      <c r="P35" s="11"/>
      <c r="Q35" s="26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93"/>
      <c r="B36" s="94"/>
      <c r="C36" s="59"/>
      <c r="D36" s="87"/>
      <c r="E36" s="11"/>
      <c r="F36" s="11"/>
      <c r="G36" s="11"/>
      <c r="H36" s="228"/>
      <c r="I36" s="229"/>
      <c r="J36" s="230"/>
      <c r="K36" s="11"/>
      <c r="L36" s="11"/>
      <c r="M36" s="11"/>
      <c r="N36" s="11"/>
      <c r="O36" s="11"/>
      <c r="P36" s="11"/>
      <c r="Q36" s="26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76"/>
      <c r="B37" s="77"/>
      <c r="C37" s="78"/>
      <c r="D37" s="87"/>
      <c r="E37" s="11"/>
      <c r="F37" s="11"/>
      <c r="G37" s="11"/>
      <c r="H37" s="225"/>
      <c r="I37" s="226"/>
      <c r="J37" s="227"/>
      <c r="K37" s="11"/>
      <c r="L37" s="11"/>
      <c r="M37" s="11"/>
      <c r="N37" s="11"/>
      <c r="O37" s="11"/>
      <c r="P37" s="11"/>
      <c r="Q37" s="26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93"/>
      <c r="B38" s="94"/>
      <c r="C38" s="59"/>
      <c r="D38" s="87"/>
      <c r="E38" s="11"/>
      <c r="F38" s="11"/>
      <c r="G38" s="11"/>
      <c r="H38" s="228"/>
      <c r="I38" s="229"/>
      <c r="J38" s="230"/>
      <c r="K38" s="11"/>
      <c r="L38" s="11"/>
      <c r="M38" s="11"/>
      <c r="N38" s="11"/>
      <c r="O38" s="11"/>
      <c r="P38" s="11"/>
      <c r="Q38" s="26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76"/>
      <c r="B39" s="77"/>
      <c r="C39" s="78"/>
      <c r="D39" s="87"/>
      <c r="E39" s="11"/>
      <c r="F39" s="11"/>
      <c r="G39" s="11"/>
      <c r="H39" s="225"/>
      <c r="I39" s="226"/>
      <c r="J39" s="227"/>
      <c r="K39" s="11"/>
      <c r="L39" s="11"/>
      <c r="M39" s="11"/>
      <c r="N39" s="11"/>
      <c r="O39" s="11"/>
      <c r="P39" s="11"/>
      <c r="Q39" s="26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93"/>
      <c r="B40" s="94"/>
      <c r="C40" s="59"/>
      <c r="D40" s="87"/>
      <c r="E40" s="11"/>
      <c r="F40" s="11"/>
      <c r="G40" s="11"/>
      <c r="H40" s="228"/>
      <c r="I40" s="229"/>
      <c r="J40" s="230"/>
      <c r="K40" s="11"/>
      <c r="L40" s="11"/>
      <c r="M40" s="11"/>
      <c r="N40" s="11"/>
      <c r="O40" s="11"/>
      <c r="P40" s="11"/>
      <c r="Q40" s="26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08"/>
      <c r="B41" s="77"/>
      <c r="C41" s="78"/>
      <c r="D41" s="87"/>
      <c r="E41" s="11"/>
      <c r="F41" s="11"/>
      <c r="G41" s="11"/>
      <c r="H41" s="231" t="s">
        <v>10</v>
      </c>
      <c r="I41" s="232">
        <f>SUM(I2:I40)</f>
        <v>28503.5</v>
      </c>
      <c r="J41" s="233"/>
      <c r="K41" s="11"/>
      <c r="L41" s="11"/>
      <c r="M41" s="11"/>
      <c r="N41" s="11"/>
      <c r="O41" s="11"/>
      <c r="P41" s="11"/>
      <c r="Q41" s="26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24"/>
      <c r="B42" s="94"/>
      <c r="C42" s="59"/>
      <c r="D42" s="8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6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08"/>
      <c r="B43" s="77"/>
      <c r="C43" s="78"/>
      <c r="D43" s="87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6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24"/>
      <c r="B44" s="94"/>
      <c r="C44" s="59"/>
      <c r="D44" s="87"/>
      <c r="E44" s="11"/>
      <c r="F44" s="122"/>
      <c r="G44" s="122"/>
      <c r="H44" s="11"/>
      <c r="I44" s="11"/>
      <c r="J44" s="11"/>
      <c r="K44" s="122"/>
      <c r="L44" s="11"/>
      <c r="M44" s="11"/>
      <c r="N44" s="11"/>
      <c r="O44" s="122"/>
      <c r="P44" s="11"/>
      <c r="Q44" s="26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08"/>
      <c r="B45" s="77"/>
      <c r="C45" s="78"/>
      <c r="D45" s="8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6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24"/>
      <c r="B46" s="94"/>
      <c r="C46" s="59"/>
      <c r="D46" s="87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6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08"/>
      <c r="B47" s="77"/>
      <c r="C47" s="78"/>
      <c r="D47" s="87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2"/>
      <c r="Q47" s="127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24"/>
      <c r="B48" s="77"/>
      <c r="C48" s="78"/>
      <c r="D48" s="8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08"/>
      <c r="B49" s="77"/>
      <c r="C49" s="78"/>
      <c r="D49" s="87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08"/>
      <c r="B50" s="77"/>
      <c r="C50" s="78"/>
      <c r="D50" s="8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08"/>
      <c r="B51" s="77"/>
      <c r="C51" s="78"/>
      <c r="D51" s="122"/>
      <c r="E51" s="12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08"/>
      <c r="B52" s="77"/>
      <c r="C52" s="7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08"/>
      <c r="B53" s="77"/>
      <c r="C53" s="7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08"/>
      <c r="B54" s="77"/>
      <c r="C54" s="7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08"/>
      <c r="B55" s="77"/>
      <c r="C55" s="7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08"/>
      <c r="B56" s="77"/>
      <c r="C56" s="78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24"/>
      <c r="B57" s="94"/>
      <c r="C57" s="59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08"/>
      <c r="B58" s="77"/>
      <c r="C58" s="7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24"/>
      <c r="B59" s="109" t="s">
        <v>10</v>
      </c>
      <c r="C59" s="110">
        <f t="array" ref="C59">SUM(C2:C58)</f>
        <v>20119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28"/>
      <c r="B60" s="129"/>
      <c r="C60" s="129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S1003" s="11"/>
      <c r="T1003" s="11"/>
      <c r="U1003" s="11"/>
      <c r="V1003" s="11"/>
      <c r="W1003" s="11"/>
      <c r="X1003" s="11"/>
      <c r="Y1003" s="11"/>
      <c r="Z1003" s="11"/>
    </row>
  </sheetData>
  <autoFilter ref="F23"/>
  <pageMargins left="0.7" right="0.7" top="0.75" bottom="0.75" header="0" footer="0"/>
  <pageSetup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   PEDIDOS DA FABRICA</vt:lpstr>
      <vt:lpstr>   ESTOQUE  2026</vt:lpstr>
      <vt:lpstr>CONTROLE DE SAÍDA 2026</vt:lpstr>
      <vt:lpstr>CONTA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Pichau</cp:lastModifiedBy>
  <dcterms:created xsi:type="dcterms:W3CDTF">2025-07-31T16:25:56Z</dcterms:created>
  <dcterms:modified xsi:type="dcterms:W3CDTF">2026-09-17T23:51:37Z</dcterms:modified>
</cp:coreProperties>
</file>